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6" windowWidth="22980" windowHeight="9552" tabRatio="596" activeTab="4"/>
  </bookViews>
  <sheets>
    <sheet name="googlesheet" sheetId="15" r:id="rId1"/>
    <sheet name="pivot" sheetId="16" r:id="rId2"/>
    <sheet name="main" sheetId="1" r:id="rId3"/>
    <sheet name="ต้นหอม" sheetId="20" r:id="rId4"/>
    <sheet name="ผักชี" sheetId="23" r:id="rId5"/>
    <sheet name="แผนประชุมแยก" sheetId="21" r:id="rId6"/>
    <sheet name="เกษตกร" sheetId="22" r:id="rId7"/>
  </sheets>
  <definedNames>
    <definedName name="export?format_csv_gid_173886995" localSheetId="0">googlesheet!$A$1:$H$30</definedName>
  </definedNames>
  <calcPr calcId="125725"/>
  <pivotCaches>
    <pivotCache cacheId="0" r:id="rId8"/>
  </pivotCaches>
</workbook>
</file>

<file path=xl/calcChain.xml><?xml version="1.0" encoding="utf-8"?>
<calcChain xmlns="http://schemas.openxmlformats.org/spreadsheetml/2006/main">
  <c r="F2" i="23"/>
  <c r="E2"/>
  <c r="D2"/>
  <c r="C2"/>
  <c r="A3"/>
  <c r="B2"/>
  <c r="A2"/>
  <c r="G8"/>
  <c r="F8"/>
  <c r="E8"/>
  <c r="E9" s="1"/>
  <c r="B8"/>
  <c r="G7"/>
  <c r="F7"/>
  <c r="E7"/>
  <c r="C7" s="1"/>
  <c r="D7"/>
  <c r="B7"/>
  <c r="AU4" i="1"/>
  <c r="AU5"/>
  <c r="AU6"/>
  <c r="AU7"/>
  <c r="AU8"/>
  <c r="AU9"/>
  <c r="AU10"/>
  <c r="AU11"/>
  <c r="AU12"/>
  <c r="AU13"/>
  <c r="AU14"/>
  <c r="AU15"/>
  <c r="AU16"/>
  <c r="AU17"/>
  <c r="AU18"/>
  <c r="AU19"/>
  <c r="AU20"/>
  <c r="AU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3"/>
  <c r="AQ4"/>
  <c r="AQ5"/>
  <c r="AQ6"/>
  <c r="AQ7"/>
  <c r="AQ8"/>
  <c r="AQ9"/>
  <c r="AQ10"/>
  <c r="AQ11"/>
  <c r="AQ12"/>
  <c r="AQ13"/>
  <c r="AQ14"/>
  <c r="AQ15"/>
  <c r="AQ16"/>
  <c r="AQ17"/>
  <c r="AQ18"/>
  <c r="AQ19"/>
  <c r="AQ20"/>
  <c r="AQ3"/>
  <c r="AT4"/>
  <c r="AT5"/>
  <c r="AT6"/>
  <c r="AT7"/>
  <c r="AT8"/>
  <c r="AT9"/>
  <c r="AT10"/>
  <c r="AT11"/>
  <c r="AT12"/>
  <c r="AT13"/>
  <c r="AT14"/>
  <c r="AT15"/>
  <c r="AT16"/>
  <c r="AT17"/>
  <c r="AT18"/>
  <c r="AT19"/>
  <c r="AT20"/>
  <c r="AT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3"/>
  <c r="AR4"/>
  <c r="AR5"/>
  <c r="AR6"/>
  <c r="AR7"/>
  <c r="AR8"/>
  <c r="AR9"/>
  <c r="AR10"/>
  <c r="AR11"/>
  <c r="AR12"/>
  <c r="AR13"/>
  <c r="AR14"/>
  <c r="AR15"/>
  <c r="AR16"/>
  <c r="AR17"/>
  <c r="AR18"/>
  <c r="AR19"/>
  <c r="AR20"/>
  <c r="AR3"/>
  <c r="AP4"/>
  <c r="AP5"/>
  <c r="AP6"/>
  <c r="AP7"/>
  <c r="AP8"/>
  <c r="AP9"/>
  <c r="AP10"/>
  <c r="AP11"/>
  <c r="AP12"/>
  <c r="AP13"/>
  <c r="AP14"/>
  <c r="AP15"/>
  <c r="AP16"/>
  <c r="AP17"/>
  <c r="AP18"/>
  <c r="AP19"/>
  <c r="AP20"/>
  <c r="AP3"/>
  <c r="I18" i="21"/>
  <c r="H15"/>
  <c r="H16"/>
  <c r="H17"/>
  <c r="H14"/>
  <c r="G13"/>
  <c r="G12"/>
  <c r="E8"/>
  <c r="E9"/>
  <c r="E10"/>
  <c r="E11"/>
  <c r="E7"/>
  <c r="D6"/>
  <c r="D5"/>
  <c r="AE25" i="20"/>
  <c r="AE26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7"/>
  <c r="F4" i="1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3"/>
  <c r="AO4"/>
  <c r="AO5"/>
  <c r="AO6"/>
  <c r="AO7"/>
  <c r="AO8"/>
  <c r="AO9"/>
  <c r="AO10"/>
  <c r="AO11"/>
  <c r="AO12"/>
  <c r="AO13"/>
  <c r="AO14"/>
  <c r="AO15"/>
  <c r="AO16"/>
  <c r="AO17"/>
  <c r="AO18"/>
  <c r="AO19"/>
  <c r="AO20"/>
  <c r="AO3"/>
  <c r="AM4"/>
  <c r="AM5"/>
  <c r="AM6"/>
  <c r="AM7"/>
  <c r="AM8"/>
  <c r="AM9"/>
  <c r="AM10"/>
  <c r="AM11"/>
  <c r="AM12"/>
  <c r="AM13"/>
  <c r="AM14"/>
  <c r="AM15"/>
  <c r="AM16"/>
  <c r="AM17"/>
  <c r="AM18"/>
  <c r="AM19"/>
  <c r="AM20"/>
  <c r="AL4"/>
  <c r="AL5"/>
  <c r="AL6"/>
  <c r="AL7"/>
  <c r="AL8"/>
  <c r="AL9"/>
  <c r="AL10"/>
  <c r="AL11"/>
  <c r="AL12"/>
  <c r="AL13"/>
  <c r="AL14"/>
  <c r="AL15"/>
  <c r="AL16"/>
  <c r="AL17"/>
  <c r="AL18"/>
  <c r="AL19"/>
  <c r="AL20"/>
  <c r="AL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H4"/>
  <c r="AH5"/>
  <c r="AH6"/>
  <c r="AH7"/>
  <c r="AH8"/>
  <c r="AH9"/>
  <c r="AH10"/>
  <c r="AH11"/>
  <c r="AH12"/>
  <c r="AH13"/>
  <c r="AH14"/>
  <c r="AH15"/>
  <c r="AH16"/>
  <c r="AH17"/>
  <c r="AH18"/>
  <c r="AH19"/>
  <c r="AH20"/>
  <c r="AH3"/>
  <c r="AM3"/>
  <c r="AK4"/>
  <c r="AK5"/>
  <c r="AK6"/>
  <c r="AK7"/>
  <c r="AK8"/>
  <c r="AK9"/>
  <c r="AK10"/>
  <c r="AK11"/>
  <c r="AK12"/>
  <c r="AK13"/>
  <c r="AK14"/>
  <c r="AK15"/>
  <c r="AK16"/>
  <c r="AK17"/>
  <c r="AK18"/>
  <c r="AK19"/>
  <c r="AK20"/>
  <c r="AK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3"/>
  <c r="AI3"/>
  <c r="A3" i="20"/>
  <c r="G2"/>
  <c r="F2"/>
  <c r="E2"/>
  <c r="D2"/>
  <c r="C2"/>
  <c r="B2"/>
  <c r="A2"/>
  <c r="G7"/>
  <c r="E7"/>
  <c r="E8" s="1"/>
  <c r="R104" i="1"/>
  <c r="R105"/>
  <c r="R106"/>
  <c r="R107"/>
  <c r="R108"/>
  <c r="R109"/>
  <c r="R110"/>
  <c r="R111"/>
  <c r="R112"/>
  <c r="R113"/>
  <c r="R114"/>
  <c r="R115"/>
  <c r="R116"/>
  <c r="R117"/>
  <c r="R118"/>
  <c r="R119"/>
  <c r="R120"/>
  <c r="R10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3"/>
  <c r="U4"/>
  <c r="U5"/>
  <c r="U6"/>
  <c r="U7"/>
  <c r="U8"/>
  <c r="T3"/>
  <c r="T4"/>
  <c r="T5"/>
  <c r="T6"/>
  <c r="T7"/>
  <c r="T8"/>
  <c r="T9"/>
  <c r="T10"/>
  <c r="T11"/>
  <c r="T12"/>
  <c r="T13"/>
  <c r="T14"/>
  <c r="T15"/>
  <c r="T16"/>
  <c r="T17"/>
  <c r="T18"/>
  <c r="T19"/>
  <c r="T20"/>
  <c r="F16"/>
  <c r="G16" s="1"/>
  <c r="F19"/>
  <c r="G19" s="1"/>
  <c r="F20"/>
  <c r="G20" s="1"/>
  <c r="F18"/>
  <c r="G18" s="1"/>
  <c r="AF4"/>
  <c r="AF5"/>
  <c r="AF6"/>
  <c r="AF7"/>
  <c r="AF8"/>
  <c r="AF9"/>
  <c r="AF10"/>
  <c r="AF11"/>
  <c r="AF12"/>
  <c r="AF13"/>
  <c r="AF14"/>
  <c r="AF15"/>
  <c r="AF16"/>
  <c r="AF17"/>
  <c r="AF18"/>
  <c r="AF19"/>
  <c r="AF20"/>
  <c r="AF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3"/>
  <c r="AD3"/>
  <c r="AD11"/>
  <c r="U9"/>
  <c r="U10"/>
  <c r="U11"/>
  <c r="U12"/>
  <c r="U13"/>
  <c r="U14"/>
  <c r="U15"/>
  <c r="U16"/>
  <c r="U17"/>
  <c r="U18"/>
  <c r="U19"/>
  <c r="U20"/>
  <c r="AD4"/>
  <c r="AD5"/>
  <c r="AD6"/>
  <c r="AD7"/>
  <c r="AD8"/>
  <c r="AD9"/>
  <c r="AD10"/>
  <c r="AD12"/>
  <c r="AD13"/>
  <c r="AD14"/>
  <c r="AD15"/>
  <c r="AD16"/>
  <c r="AD17"/>
  <c r="AD18"/>
  <c r="AD19"/>
  <c r="AD20"/>
  <c r="D13"/>
  <c r="F13" s="1"/>
  <c r="G11"/>
  <c r="G10"/>
  <c r="G14"/>
  <c r="G17"/>
  <c r="Z4"/>
  <c r="Z5"/>
  <c r="Z6"/>
  <c r="Z7"/>
  <c r="Z8"/>
  <c r="Z9"/>
  <c r="Z10"/>
  <c r="Z11"/>
  <c r="Z12"/>
  <c r="Z13"/>
  <c r="Z14"/>
  <c r="Z15"/>
  <c r="Z16"/>
  <c r="Z17"/>
  <c r="Z18"/>
  <c r="Z19"/>
  <c r="Z20"/>
  <c r="Y4"/>
  <c r="Y5"/>
  <c r="Y6"/>
  <c r="Y7"/>
  <c r="Y8"/>
  <c r="Y9"/>
  <c r="Y10"/>
  <c r="Y11"/>
  <c r="Y12"/>
  <c r="Y13"/>
  <c r="Y14"/>
  <c r="Y15"/>
  <c r="Y16"/>
  <c r="Y17"/>
  <c r="Y18"/>
  <c r="Y19"/>
  <c r="Y20"/>
  <c r="X4"/>
  <c r="X5"/>
  <c r="X6"/>
  <c r="X7"/>
  <c r="X8"/>
  <c r="X9"/>
  <c r="X10"/>
  <c r="X11"/>
  <c r="X12"/>
  <c r="X13"/>
  <c r="X14"/>
  <c r="X15"/>
  <c r="X16"/>
  <c r="X17"/>
  <c r="X18"/>
  <c r="X19"/>
  <c r="X20"/>
  <c r="W4"/>
  <c r="W5"/>
  <c r="W6"/>
  <c r="W7"/>
  <c r="W8"/>
  <c r="W9"/>
  <c r="W10"/>
  <c r="W11"/>
  <c r="W12"/>
  <c r="W13"/>
  <c r="W14"/>
  <c r="W15"/>
  <c r="W16"/>
  <c r="W17"/>
  <c r="W18"/>
  <c r="W19"/>
  <c r="W20"/>
  <c r="V4"/>
  <c r="V5"/>
  <c r="V6"/>
  <c r="V7"/>
  <c r="V8"/>
  <c r="V9"/>
  <c r="V10"/>
  <c r="V11"/>
  <c r="V12"/>
  <c r="V13"/>
  <c r="V14"/>
  <c r="V15"/>
  <c r="V16"/>
  <c r="V17"/>
  <c r="V18"/>
  <c r="V19"/>
  <c r="V20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3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3"/>
  <c r="AA4"/>
  <c r="AA5"/>
  <c r="AA6"/>
  <c r="AA7"/>
  <c r="AA8"/>
  <c r="AA9"/>
  <c r="AA10"/>
  <c r="AA11"/>
  <c r="AA12"/>
  <c r="AA13"/>
  <c r="AA14"/>
  <c r="AA15"/>
  <c r="AA16"/>
  <c r="AA17"/>
  <c r="AA18"/>
  <c r="AA19"/>
  <c r="AA20"/>
  <c r="AA3"/>
  <c r="Z3"/>
  <c r="Y3"/>
  <c r="X3"/>
  <c r="W3"/>
  <c r="V3"/>
  <c r="U3"/>
  <c r="I3"/>
  <c r="I4"/>
  <c r="I5"/>
  <c r="I6"/>
  <c r="I7"/>
  <c r="K7" s="1"/>
  <c r="M7" s="1"/>
  <c r="I8"/>
  <c r="K8" s="1"/>
  <c r="M8" s="1"/>
  <c r="I9"/>
  <c r="K9" s="1"/>
  <c r="M9" s="1"/>
  <c r="I10"/>
  <c r="K10" s="1"/>
  <c r="M10" s="1"/>
  <c r="I11"/>
  <c r="K11" s="1"/>
  <c r="M11" s="1"/>
  <c r="I12"/>
  <c r="K12" s="1"/>
  <c r="M12" s="1"/>
  <c r="I13"/>
  <c r="K13" s="1"/>
  <c r="M13" s="1"/>
  <c r="I14"/>
  <c r="K14" s="1"/>
  <c r="M14" s="1"/>
  <c r="I15"/>
  <c r="K15" s="1"/>
  <c r="M15" s="1"/>
  <c r="I16"/>
  <c r="K16" s="1"/>
  <c r="M16" s="1"/>
  <c r="I17"/>
  <c r="K17" s="1"/>
  <c r="M17" s="1"/>
  <c r="I18"/>
  <c r="K18" s="1"/>
  <c r="M18" s="1"/>
  <c r="I19"/>
  <c r="K19" s="1"/>
  <c r="M19" s="1"/>
  <c r="I20"/>
  <c r="K20" s="1"/>
  <c r="M20" s="1"/>
  <c r="F15"/>
  <c r="F9"/>
  <c r="F10"/>
  <c r="F11"/>
  <c r="F12"/>
  <c r="G12" s="1"/>
  <c r="F8"/>
  <c r="F6"/>
  <c r="F7"/>
  <c r="F5"/>
  <c r="B9" i="23" l="1"/>
  <c r="C9"/>
  <c r="D9"/>
  <c r="F9"/>
  <c r="G9"/>
  <c r="E10"/>
  <c r="D8"/>
  <c r="C8"/>
  <c r="AV21" i="1"/>
  <c r="AV23" s="1"/>
  <c r="AR21"/>
  <c r="AR23" s="1"/>
  <c r="AS21"/>
  <c r="AS23" s="1"/>
  <c r="AT21"/>
  <c r="AT23" s="1"/>
  <c r="AU21"/>
  <c r="AU23" s="1"/>
  <c r="AQ21"/>
  <c r="AQ23" s="1"/>
  <c r="AO21"/>
  <c r="AO23" s="1"/>
  <c r="AP21"/>
  <c r="AP23" s="1"/>
  <c r="AN21"/>
  <c r="AN23" s="1"/>
  <c r="AM21"/>
  <c r="AM23" s="1"/>
  <c r="AJ21"/>
  <c r="AJ23" s="1"/>
  <c r="AK21"/>
  <c r="AK23" s="1"/>
  <c r="AI21"/>
  <c r="AI23" s="1"/>
  <c r="AL21"/>
  <c r="AL23" s="1"/>
  <c r="D8" i="20"/>
  <c r="F8"/>
  <c r="C8"/>
  <c r="G8"/>
  <c r="E9"/>
  <c r="B8"/>
  <c r="F7"/>
  <c r="D7"/>
  <c r="C7"/>
  <c r="B7"/>
  <c r="AH100" i="1"/>
  <c r="AH102" s="1"/>
  <c r="T100"/>
  <c r="T102" s="1"/>
  <c r="AG100"/>
  <c r="AG102" s="1"/>
  <c r="AF100"/>
  <c r="AF102" s="1"/>
  <c r="AE100"/>
  <c r="AE102" s="1"/>
  <c r="O13"/>
  <c r="O14"/>
  <c r="O15"/>
  <c r="O5"/>
  <c r="O6"/>
  <c r="AD100"/>
  <c r="O16"/>
  <c r="O19"/>
  <c r="O17"/>
  <c r="O20"/>
  <c r="O3"/>
  <c r="O7"/>
  <c r="O4"/>
  <c r="O9"/>
  <c r="O11"/>
  <c r="O8"/>
  <c r="O12"/>
  <c r="O18"/>
  <c r="U100"/>
  <c r="U102" s="1"/>
  <c r="W100"/>
  <c r="W102" s="1"/>
  <c r="AB100"/>
  <c r="AB102" s="1"/>
  <c r="AA100"/>
  <c r="AA102" s="1"/>
  <c r="Z100"/>
  <c r="Z102" s="1"/>
  <c r="Y100"/>
  <c r="Y102" s="1"/>
  <c r="X100"/>
  <c r="X102" s="1"/>
  <c r="V100"/>
  <c r="V102" s="1"/>
  <c r="AC100"/>
  <c r="AC102" s="1"/>
  <c r="L10"/>
  <c r="J10" s="1"/>
  <c r="Q10" s="1"/>
  <c r="L8"/>
  <c r="J8" s="1"/>
  <c r="Q8" s="1"/>
  <c r="L9"/>
  <c r="J9" s="1"/>
  <c r="Q9" s="1"/>
  <c r="L20"/>
  <c r="J20" s="1"/>
  <c r="Q20" s="1"/>
  <c r="L17"/>
  <c r="J17" s="1"/>
  <c r="Q17" s="1"/>
  <c r="L18"/>
  <c r="J18" s="1"/>
  <c r="Q18" s="1"/>
  <c r="L7"/>
  <c r="J7" s="1"/>
  <c r="L19"/>
  <c r="J19" s="1"/>
  <c r="Q19" s="1"/>
  <c r="L11"/>
  <c r="J11" s="1"/>
  <c r="Q11" s="1"/>
  <c r="L12"/>
  <c r="J12" s="1"/>
  <c r="Q12" s="1"/>
  <c r="L13"/>
  <c r="J13" s="1"/>
  <c r="Q13" s="1"/>
  <c r="L14"/>
  <c r="J14" s="1"/>
  <c r="Q14" s="1"/>
  <c r="L15"/>
  <c r="J15" s="1"/>
  <c r="Q15" s="1"/>
  <c r="L16"/>
  <c r="J16" s="1"/>
  <c r="K4"/>
  <c r="K5"/>
  <c r="K6"/>
  <c r="K3"/>
  <c r="M3" s="1"/>
  <c r="Q7" l="1"/>
  <c r="G2" i="23"/>
  <c r="E11"/>
  <c r="D10"/>
  <c r="B10"/>
  <c r="C10"/>
  <c r="F10"/>
  <c r="G10"/>
  <c r="P20" i="1"/>
  <c r="S20" s="1"/>
  <c r="P16"/>
  <c r="R16" s="1"/>
  <c r="P5"/>
  <c r="C9" i="20"/>
  <c r="B9"/>
  <c r="D9"/>
  <c r="E10"/>
  <c r="F9"/>
  <c r="G9"/>
  <c r="M4" i="1"/>
  <c r="J4"/>
  <c r="P3"/>
  <c r="Q16"/>
  <c r="P11"/>
  <c r="P4"/>
  <c r="R4" s="1"/>
  <c r="P15"/>
  <c r="L6"/>
  <c r="J6" s="1"/>
  <c r="Q6" s="1"/>
  <c r="M6"/>
  <c r="L5"/>
  <c r="J5" s="1"/>
  <c r="M5"/>
  <c r="L3"/>
  <c r="J3" s="1"/>
  <c r="Q3" s="1"/>
  <c r="L4"/>
  <c r="C11" i="23" l="1"/>
  <c r="E12"/>
  <c r="D11"/>
  <c r="F11"/>
  <c r="G11"/>
  <c r="B11"/>
  <c r="S4" i="1"/>
  <c r="S3"/>
  <c r="P12"/>
  <c r="S12" s="1"/>
  <c r="P17"/>
  <c r="R17" s="1"/>
  <c r="P6"/>
  <c r="S6" s="1"/>
  <c r="P7"/>
  <c r="S7" s="1"/>
  <c r="P19"/>
  <c r="S19" s="1"/>
  <c r="P18"/>
  <c r="R18" s="1"/>
  <c r="E11" i="20"/>
  <c r="G10"/>
  <c r="C10"/>
  <c r="B10"/>
  <c r="D10"/>
  <c r="F10"/>
  <c r="Q4" i="1"/>
  <c r="S5"/>
  <c r="R3"/>
  <c r="R15"/>
  <c r="S15"/>
  <c r="R11"/>
  <c r="S11"/>
  <c r="R20"/>
  <c r="S16"/>
  <c r="Q5"/>
  <c r="R5"/>
  <c r="E13" i="23" l="1"/>
  <c r="D12"/>
  <c r="B12"/>
  <c r="C12"/>
  <c r="F12"/>
  <c r="G12"/>
  <c r="S18" i="1"/>
  <c r="R12"/>
  <c r="R6"/>
  <c r="S17"/>
  <c r="R7"/>
  <c r="R19"/>
  <c r="B11" i="20"/>
  <c r="C11"/>
  <c r="D11"/>
  <c r="G11"/>
  <c r="F11"/>
  <c r="E12"/>
  <c r="F13" i="23" l="1"/>
  <c r="G13"/>
  <c r="D13"/>
  <c r="C13"/>
  <c r="E14"/>
  <c r="B13"/>
  <c r="E13" i="20"/>
  <c r="B12"/>
  <c r="C12"/>
  <c r="D12"/>
  <c r="G12"/>
  <c r="F12"/>
  <c r="E15" i="23" l="1"/>
  <c r="B14"/>
  <c r="C14"/>
  <c r="D14"/>
  <c r="F14"/>
  <c r="G14"/>
  <c r="F13" i="20"/>
  <c r="G13"/>
  <c r="E14"/>
  <c r="C13"/>
  <c r="B13"/>
  <c r="D13"/>
  <c r="G15" i="23" l="1"/>
  <c r="E16"/>
  <c r="F15"/>
  <c r="B15"/>
  <c r="C15"/>
  <c r="D15"/>
  <c r="B14" i="20"/>
  <c r="C14"/>
  <c r="D14"/>
  <c r="F14"/>
  <c r="G14"/>
  <c r="E15"/>
  <c r="B16" i="23" l="1"/>
  <c r="C16"/>
  <c r="D16"/>
  <c r="F16"/>
  <c r="G16"/>
  <c r="E17"/>
  <c r="E16" i="20"/>
  <c r="G15"/>
  <c r="B15"/>
  <c r="C15"/>
  <c r="D15"/>
  <c r="F15"/>
  <c r="C17" i="23" l="1"/>
  <c r="E18"/>
  <c r="G17"/>
  <c r="B17"/>
  <c r="D17"/>
  <c r="F17"/>
  <c r="D16" i="20"/>
  <c r="F16"/>
  <c r="G16"/>
  <c r="E17"/>
  <c r="C16"/>
  <c r="B16"/>
  <c r="B18" i="23" l="1"/>
  <c r="C18"/>
  <c r="D18"/>
  <c r="F18"/>
  <c r="G18"/>
  <c r="E19"/>
  <c r="C17" i="20"/>
  <c r="B17"/>
  <c r="D17"/>
  <c r="F17"/>
  <c r="G17"/>
  <c r="E18"/>
  <c r="E20" i="23" l="1"/>
  <c r="C19"/>
  <c r="B19"/>
  <c r="D19"/>
  <c r="F19"/>
  <c r="G19"/>
  <c r="E19" i="20"/>
  <c r="C18"/>
  <c r="G18"/>
  <c r="B18"/>
  <c r="D18"/>
  <c r="F18"/>
  <c r="D20" i="23" l="1"/>
  <c r="B20"/>
  <c r="F20"/>
  <c r="G20"/>
  <c r="E21"/>
  <c r="C20"/>
  <c r="B19" i="20"/>
  <c r="C19"/>
  <c r="D19"/>
  <c r="G19"/>
  <c r="F19"/>
  <c r="E20"/>
  <c r="G21" i="23" l="1"/>
  <c r="E22"/>
  <c r="B21"/>
  <c r="C21"/>
  <c r="D21"/>
  <c r="F21"/>
  <c r="E21" i="20"/>
  <c r="B20"/>
  <c r="C20"/>
  <c r="D20"/>
  <c r="G20"/>
  <c r="F20"/>
  <c r="F22" i="23" l="1"/>
  <c r="D22"/>
  <c r="G22"/>
  <c r="E23"/>
  <c r="B22"/>
  <c r="C22"/>
  <c r="F21" i="20"/>
  <c r="G21"/>
  <c r="C21"/>
  <c r="E22"/>
  <c r="B21"/>
  <c r="D21"/>
  <c r="B23" i="23" l="1"/>
  <c r="C23"/>
  <c r="G23"/>
  <c r="D23"/>
  <c r="F23"/>
  <c r="E24"/>
  <c r="B22" i="20"/>
  <c r="C22"/>
  <c r="D22"/>
  <c r="F22"/>
  <c r="G22"/>
  <c r="E23"/>
  <c r="G24" i="23" l="1"/>
  <c r="B24"/>
  <c r="F24"/>
  <c r="E25"/>
  <c r="C24"/>
  <c r="D24"/>
  <c r="E24" i="20"/>
  <c r="G23"/>
  <c r="B23"/>
  <c r="C23"/>
  <c r="D23"/>
  <c r="F23"/>
  <c r="B25" i="23" l="1"/>
  <c r="C25"/>
  <c r="D25"/>
  <c r="F25"/>
  <c r="G25"/>
  <c r="E26"/>
  <c r="D24" i="20"/>
  <c r="F24"/>
  <c r="G24"/>
  <c r="E25"/>
  <c r="C24"/>
  <c r="B24"/>
  <c r="E27" i="23" l="1"/>
  <c r="B26"/>
  <c r="D26"/>
  <c r="C26"/>
  <c r="F26"/>
  <c r="G26"/>
  <c r="C25" i="20"/>
  <c r="E26"/>
  <c r="B25"/>
  <c r="D25"/>
  <c r="F25"/>
  <c r="G25"/>
  <c r="B27" i="23" l="1"/>
  <c r="C27"/>
  <c r="D27"/>
  <c r="F27"/>
  <c r="G27"/>
  <c r="E28"/>
  <c r="E27" i="20"/>
  <c r="G26"/>
  <c r="C26"/>
  <c r="B26"/>
  <c r="D26"/>
  <c r="F26"/>
  <c r="G28" i="23" l="1"/>
  <c r="E29"/>
  <c r="B28"/>
  <c r="C28"/>
  <c r="D28"/>
  <c r="F28"/>
  <c r="B27" i="20"/>
  <c r="C27"/>
  <c r="D27"/>
  <c r="G27"/>
  <c r="F27"/>
  <c r="E28"/>
  <c r="F29" i="23" l="1"/>
  <c r="G29"/>
  <c r="E30"/>
  <c r="B29"/>
  <c r="C29"/>
  <c r="D29"/>
  <c r="E29" i="20"/>
  <c r="B28"/>
  <c r="C28"/>
  <c r="G28"/>
  <c r="D28"/>
  <c r="F28"/>
  <c r="C30" i="23" l="1"/>
  <c r="E31"/>
  <c r="B30"/>
  <c r="D30"/>
  <c r="F30"/>
  <c r="G30"/>
  <c r="F29" i="20"/>
  <c r="G29"/>
  <c r="E30"/>
  <c r="C29"/>
  <c r="B29"/>
  <c r="D29"/>
  <c r="E32" i="23" l="1"/>
  <c r="C31"/>
  <c r="B31"/>
  <c r="D31"/>
  <c r="F31"/>
  <c r="G31"/>
  <c r="B30" i="20"/>
  <c r="C30"/>
  <c r="D30"/>
  <c r="F30"/>
  <c r="G30"/>
  <c r="E31"/>
  <c r="D32" i="23" l="1"/>
  <c r="F32"/>
  <c r="G32"/>
  <c r="E33"/>
  <c r="C32"/>
  <c r="B32"/>
  <c r="E32" i="20"/>
  <c r="G31"/>
  <c r="B31"/>
  <c r="C31"/>
  <c r="D31"/>
  <c r="F31"/>
  <c r="B33" i="23" l="1"/>
  <c r="C33"/>
  <c r="D33"/>
  <c r="G33"/>
  <c r="F33"/>
  <c r="E34"/>
  <c r="D32" i="20"/>
  <c r="F32"/>
  <c r="G32"/>
  <c r="E33"/>
  <c r="C32"/>
  <c r="B32"/>
  <c r="E35" i="23" l="1"/>
  <c r="G34"/>
  <c r="C34"/>
  <c r="B34"/>
  <c r="D34"/>
  <c r="F34"/>
  <c r="C33" i="20"/>
  <c r="B33"/>
  <c r="D33"/>
  <c r="E34"/>
  <c r="F33"/>
  <c r="G33"/>
  <c r="B35" i="23" l="1"/>
  <c r="C35"/>
  <c r="D35"/>
  <c r="F35"/>
  <c r="G35"/>
  <c r="E36"/>
  <c r="E35" i="20"/>
  <c r="C34"/>
  <c r="G34"/>
  <c r="B34"/>
  <c r="D34"/>
  <c r="F34"/>
  <c r="B36" i="23" l="1"/>
  <c r="C36"/>
  <c r="G36"/>
  <c r="D36"/>
  <c r="F36"/>
  <c r="E37"/>
  <c r="B35" i="20"/>
  <c r="C35"/>
  <c r="G35"/>
  <c r="D35"/>
  <c r="F35"/>
  <c r="E36"/>
  <c r="F37" i="23" l="1"/>
  <c r="G37"/>
  <c r="E38"/>
  <c r="B37"/>
  <c r="C37"/>
  <c r="D37"/>
  <c r="B36" i="20"/>
  <c r="C36"/>
  <c r="G36"/>
  <c r="E37"/>
  <c r="D36"/>
  <c r="F36"/>
  <c r="E39" i="23" l="1"/>
  <c r="B38"/>
  <c r="C38"/>
  <c r="D38"/>
  <c r="F38"/>
  <c r="G38"/>
  <c r="F37" i="20"/>
  <c r="G37"/>
  <c r="E38"/>
  <c r="C37"/>
  <c r="B37"/>
  <c r="D37"/>
  <c r="E40" i="23" l="1"/>
  <c r="C39"/>
  <c r="B39"/>
  <c r="D39"/>
  <c r="F39"/>
  <c r="G39"/>
  <c r="B38" i="20"/>
  <c r="C38"/>
  <c r="D38"/>
  <c r="F38"/>
  <c r="G38"/>
  <c r="E39"/>
  <c r="D40" i="23" l="1"/>
  <c r="G40"/>
  <c r="C40"/>
  <c r="F40"/>
  <c r="E41"/>
  <c r="B40"/>
  <c r="E40" i="20"/>
  <c r="B39"/>
  <c r="C39"/>
  <c r="G39"/>
  <c r="D39"/>
  <c r="F39"/>
  <c r="B41" i="23" l="1"/>
  <c r="C41"/>
  <c r="G41"/>
  <c r="D41"/>
  <c r="F41"/>
  <c r="E42"/>
  <c r="D40" i="20"/>
  <c r="F40"/>
  <c r="G40"/>
  <c r="C40"/>
  <c r="E41"/>
  <c r="B40"/>
  <c r="E43" i="23" l="1"/>
  <c r="C42"/>
  <c r="B42"/>
  <c r="D42"/>
  <c r="G42"/>
  <c r="F42"/>
  <c r="C41" i="20"/>
  <c r="E42"/>
  <c r="B41"/>
  <c r="D41"/>
  <c r="F41"/>
  <c r="G41"/>
  <c r="B43" i="23" l="1"/>
  <c r="C43"/>
  <c r="D43"/>
  <c r="F43"/>
  <c r="G43"/>
  <c r="E44"/>
  <c r="G42" i="20"/>
  <c r="E43"/>
  <c r="C42"/>
  <c r="B42"/>
  <c r="D42"/>
  <c r="F42"/>
  <c r="G44" i="23" l="1"/>
  <c r="E45"/>
  <c r="B44"/>
  <c r="C44"/>
  <c r="D44"/>
  <c r="F44"/>
  <c r="B43" i="20"/>
  <c r="C43"/>
  <c r="D43"/>
  <c r="F43"/>
  <c r="G43"/>
  <c r="E44"/>
  <c r="F45" i="23" l="1"/>
  <c r="G45"/>
  <c r="E46"/>
  <c r="B45"/>
  <c r="C45"/>
  <c r="D45"/>
  <c r="B44" i="20"/>
  <c r="C44"/>
  <c r="E45"/>
  <c r="D44"/>
  <c r="F44"/>
  <c r="G44"/>
  <c r="C46" i="23" l="1"/>
  <c r="B46"/>
  <c r="D46"/>
  <c r="F46"/>
  <c r="G46"/>
  <c r="E47"/>
  <c r="F45" i="20"/>
  <c r="G45"/>
  <c r="C45"/>
  <c r="E46"/>
  <c r="B45"/>
  <c r="D45"/>
  <c r="E48" i="23" l="1"/>
  <c r="C47"/>
  <c r="B47"/>
  <c r="D47"/>
  <c r="F47"/>
  <c r="G47"/>
  <c r="B46" i="20"/>
  <c r="C46"/>
  <c r="D46"/>
  <c r="F46"/>
  <c r="G46"/>
  <c r="E47"/>
  <c r="D48" i="23" l="1"/>
  <c r="F48"/>
  <c r="G48"/>
  <c r="E49"/>
  <c r="C48"/>
  <c r="B48"/>
  <c r="E48" i="20"/>
  <c r="B47"/>
  <c r="C47"/>
  <c r="D47"/>
  <c r="F47"/>
  <c r="G47"/>
  <c r="B49" i="23" l="1"/>
  <c r="C49"/>
  <c r="D49"/>
  <c r="G49"/>
  <c r="F49"/>
  <c r="E50"/>
  <c r="D48" i="20"/>
  <c r="F48"/>
  <c r="G48"/>
  <c r="E49"/>
  <c r="C48"/>
  <c r="B48"/>
  <c r="E51" i="23" l="1"/>
  <c r="C50"/>
  <c r="G50"/>
  <c r="B50"/>
  <c r="D50"/>
  <c r="F50"/>
  <c r="B49" i="20"/>
  <c r="C49"/>
  <c r="D49"/>
  <c r="F49"/>
  <c r="G49"/>
  <c r="E50"/>
  <c r="B51" i="23" l="1"/>
  <c r="C51"/>
  <c r="D51"/>
  <c r="F51"/>
  <c r="G51"/>
  <c r="E52"/>
  <c r="E51" i="20"/>
  <c r="B50"/>
  <c r="C50"/>
  <c r="D50"/>
  <c r="F50"/>
  <c r="G50"/>
  <c r="E53" i="23" l="1"/>
  <c r="B52"/>
  <c r="C52"/>
  <c r="D52"/>
  <c r="F52"/>
  <c r="G52"/>
  <c r="B51" i="20"/>
  <c r="C51"/>
  <c r="D51"/>
  <c r="F51"/>
  <c r="G51"/>
  <c r="E52"/>
  <c r="F53" i="23" l="1"/>
  <c r="G53"/>
  <c r="E54"/>
  <c r="B53"/>
  <c r="C53"/>
  <c r="D53"/>
  <c r="B52" i="20"/>
  <c r="C52"/>
  <c r="D52"/>
  <c r="F52"/>
  <c r="G52"/>
  <c r="E53"/>
  <c r="B54" i="23" l="1"/>
  <c r="C54"/>
  <c r="D54"/>
  <c r="F54"/>
  <c r="G54"/>
  <c r="E55"/>
  <c r="F53" i="20"/>
  <c r="G53"/>
  <c r="E54"/>
  <c r="B53"/>
  <c r="C53"/>
  <c r="D53"/>
  <c r="E56" i="23" l="1"/>
  <c r="C55"/>
  <c r="B55"/>
  <c r="D55"/>
  <c r="F55"/>
  <c r="G55"/>
  <c r="B54" i="20"/>
  <c r="C54"/>
  <c r="D54"/>
  <c r="F54"/>
  <c r="G54"/>
  <c r="E55"/>
  <c r="D56" i="23" l="1"/>
  <c r="F56"/>
  <c r="G56"/>
  <c r="E57"/>
  <c r="C56"/>
  <c r="B56"/>
  <c r="E56" i="20"/>
  <c r="B55"/>
  <c r="C55"/>
  <c r="D55"/>
  <c r="F55"/>
  <c r="G55"/>
  <c r="B57" i="23" l="1"/>
  <c r="C57"/>
  <c r="D57"/>
  <c r="F57"/>
  <c r="G57"/>
  <c r="E58"/>
  <c r="D56" i="20"/>
  <c r="F56"/>
  <c r="G56"/>
  <c r="E57"/>
  <c r="B56"/>
  <c r="C56"/>
  <c r="B58" i="23" l="1"/>
  <c r="C58"/>
  <c r="D58"/>
  <c r="F58"/>
  <c r="G58"/>
  <c r="B57" i="20"/>
  <c r="C57"/>
  <c r="D57"/>
  <c r="F57"/>
  <c r="G57"/>
  <c r="E58"/>
  <c r="B58" l="1"/>
  <c r="C58"/>
  <c r="D58"/>
  <c r="F58"/>
  <c r="G58"/>
  <c r="AD102" i="1" l="1"/>
  <c r="P14" l="1"/>
  <c r="P8"/>
  <c r="P13"/>
  <c r="R13" s="1"/>
  <c r="P9"/>
  <c r="R9" s="1"/>
  <c r="S9" l="1"/>
  <c r="S13"/>
  <c r="R14"/>
  <c r="S14"/>
  <c r="R8"/>
  <c r="S8"/>
  <c r="O10"/>
  <c r="P10"/>
  <c r="P100" s="1"/>
  <c r="R100" l="1"/>
  <c r="S10"/>
  <c r="R10"/>
</calcChain>
</file>

<file path=xl/comments1.xml><?xml version="1.0" encoding="utf-8"?>
<comments xmlns="http://schemas.openxmlformats.org/spreadsheetml/2006/main">
  <authors>
    <author>peerapong</author>
  </authors>
  <commentList>
    <comment ref="H16" authorId="0">
      <text>
        <r>
          <rPr>
            <b/>
            <sz val="9"/>
            <color indexed="81"/>
            <rFont val="Tahoma"/>
            <family val="2"/>
          </rPr>
          <t>peerapong:</t>
        </r>
        <r>
          <rPr>
            <sz val="9"/>
            <color indexed="81"/>
            <rFont val="Tahoma"/>
            <family val="2"/>
          </rPr>
          <t xml:space="preserve">
เก็บได้ตลอด
ระยะเวลาปลูกจนถึงเก็บเกี่ยว  175 วัน</t>
        </r>
      </text>
    </comment>
  </commentList>
</comments>
</file>

<file path=xl/connections.xml><?xml version="1.0" encoding="utf-8"?>
<connections xmlns="http://schemas.openxmlformats.org/spreadsheetml/2006/main">
  <connection id="1" name="export?format=csv&amp;gid=173886995" type="6" refreshedVersion="3" background="1" refreshOnLoad="1" saveData="1">
    <textPr prompt="0" codePage="65001" sourceFile="https://docs.google.com/spreadsheets/d/13c5GCwo4I07BHnBwfYicW7cc1q3n9yKG_3FftpTqKnU/export?format=csv&amp;gid=173886995" tab="0" comma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<sst xmlns="http://schemas.openxmlformats.org/spreadsheetml/2006/main" count="446" uniqueCount="196">
  <si>
    <t>ผักบุ้ง</t>
  </si>
  <si>
    <t>เกษตรกร</t>
  </si>
  <si>
    <t>กก. ต่อไร่</t>
  </si>
  <si>
    <t xml:space="preserve">ผลผลิต กก./สัปดาห์ </t>
  </si>
  <si>
    <t>สัปดาห์</t>
  </si>
  <si>
    <t>พื้นที่ปลูก ไร่ ต่อ สัปดาห์</t>
  </si>
  <si>
    <t>กก. สัปดาห์</t>
  </si>
  <si>
    <t>ชื่อรายการสินค้า</t>
  </si>
  <si>
    <t>ขึ้นฉ่าย</t>
  </si>
  <si>
    <t>ต้นหอม</t>
  </si>
  <si>
    <t>ผักกวางตุ้ง</t>
  </si>
  <si>
    <t>ผักชี</t>
  </si>
  <si>
    <t>ใบกระเพรา</t>
  </si>
  <si>
    <t>ใบโหระพา</t>
  </si>
  <si>
    <t>ตะไคร้</t>
  </si>
  <si>
    <t>ถั่วฝักยาว</t>
  </si>
  <si>
    <t>มะเขือเปราะ</t>
  </si>
  <si>
    <t>กระเจี๊ยบเขียว</t>
  </si>
  <si>
    <t>ใบมะกูด</t>
  </si>
  <si>
    <t>ผักกาดหอม</t>
  </si>
  <si>
    <t>ใบเตย</t>
  </si>
  <si>
    <t>มะนาว</t>
  </si>
  <si>
    <t>กรีนโอ๊ค</t>
  </si>
  <si>
    <t>เร็ดโอ๊ค</t>
  </si>
  <si>
    <t>กรีนคอส</t>
  </si>
  <si>
    <t>ลำดับที่</t>
  </si>
  <si>
    <t>ระยะเวลา วัน</t>
  </si>
  <si>
    <t>จำนวน คร็อป</t>
  </si>
  <si>
    <t>กก.</t>
  </si>
  <si>
    <t>ระหว่างวันที่</t>
  </si>
  <si>
    <t>วันที่เริ่ม</t>
  </si>
  <si>
    <t>Year</t>
  </si>
  <si>
    <t>Month</t>
  </si>
  <si>
    <t>Day</t>
  </si>
  <si>
    <t>ระยะเวลาเพาะปลูก</t>
  </si>
  <si>
    <t>แผนขนส่ง</t>
  </si>
  <si>
    <t>ระยะพักแปลง สัปดาห์</t>
  </si>
  <si>
    <t>จำนวน คร็อป (เต็ม)</t>
  </si>
  <si>
    <t>จำนวน คร็อป (ลบ)</t>
  </si>
  <si>
    <t>ระยะพักแปลงเต็ม สัปดาห์</t>
  </si>
  <si>
    <t>ประทับเวลา</t>
  </si>
  <si>
    <t>ชื่อ - นามสกุล</t>
  </si>
  <si>
    <t>เบอร์โทร</t>
  </si>
  <si>
    <t>รายการพืชผักที่สนใจ ปลูก หรือมีการเพาะปลูกแล้ว</t>
  </si>
  <si>
    <t>พืชผักอื่นๆ นอกเหนือจากรายการด้านบน ที่ปลูกแล้ว หรือพร้อมที่จะวางแผนทำการเพาะปลูก</t>
  </si>
  <si>
    <t>พื้นที่ ที่สามารถทำการเพาะปลูก (กี่ไร่)</t>
  </si>
  <si>
    <t>ที่ตั้งแปลง อำเภอ</t>
  </si>
  <si>
    <t>เดือนที่คาดว่าจะสามารถปลูกได้</t>
  </si>
  <si>
    <t>22/10/2021, 10:15:21</t>
  </si>
  <si>
    <t>บุปผา เหลืองสอาดกุล</t>
  </si>
  <si>
    <t>อำเภอลี้</t>
  </si>
  <si>
    <t>พ.ย</t>
  </si>
  <si>
    <t>พงศ์พิจิตร อุตมโภไคย</t>
  </si>
  <si>
    <t>อำเภอเมืองลำพูน</t>
  </si>
  <si>
    <t>22/10/2021, 12:35:17</t>
  </si>
  <si>
    <t>ยุภา เจริญชัย</t>
  </si>
  <si>
    <t>พย.64</t>
  </si>
  <si>
    <t>22/10/2021, 13:00:34</t>
  </si>
  <si>
    <t>สำเริง หรั่งนางรอง</t>
  </si>
  <si>
    <t>ขึ้นฉ่าย, ต้นหอม, ผักกาดหอม, กรีนโอ๊ค, เร็ดโอ๊ค, กรีนคอส</t>
  </si>
  <si>
    <t>อำเภอบ้านโฮ่ง</t>
  </si>
  <si>
    <t>พ.ย./2564</t>
  </si>
  <si>
    <t>22/10/2021, 13:08:24</t>
  </si>
  <si>
    <t>ใบกระเพรา, ใบโหระพา, กรีนโอ๊ค, เร็ดโอ๊ค, กรีนคอส</t>
  </si>
  <si>
    <t>22/10/2021, 13:29:35</t>
  </si>
  <si>
    <t>สานิตย์ แก้วทิพย์</t>
  </si>
  <si>
    <t>ใบกระเพรา, ใบโหระพา</t>
  </si>
  <si>
    <t>15/11/64</t>
  </si>
  <si>
    <t>22/10/2021, 14:01:19</t>
  </si>
  <si>
    <t>นางสุภาพ ตะยะพงค์</t>
  </si>
  <si>
    <t>ผักชี, ใบกระเพรา, ตะไคร้, มะเขือเปราะ, ใบมะกูด, มะนาว</t>
  </si>
  <si>
    <t>ชะอม,ตำลึง,ไชยา</t>
  </si>
  <si>
    <t>พฤศจิกายน-ธันวาคม</t>
  </si>
  <si>
    <t>22/10/2021, 14:13:00</t>
  </si>
  <si>
    <t>นางสาวศรีพรรณ หมื่นปัญญา</t>
  </si>
  <si>
    <t>ต้นหอม, ผักชี, ใบกระเพรา, ใบโหระพา, ตะไคร้, ถั่วฝักยาว, มะเขือเปราะ, กระเจี๊ยบเขียว, ผักกาดหอม, มะนาว, กรีนโอ๊ค, กรีนคอส</t>
  </si>
  <si>
    <t>ปลูกแล้ว-ไชยยา,ชะอม,ยอดเสี้ยว,</t>
  </si>
  <si>
    <t>บางอย่างปลูกแล้วเช่นตะไคร้,ถั่วฝักยาว,มะนาว ที่คาดว่าจะปลูกได้เดือนธันวาคม</t>
  </si>
  <si>
    <t>22/10/2021, 14:54:07</t>
  </si>
  <si>
    <t>นางกิติชา ปาลีย์กุย</t>
  </si>
  <si>
    <t>ต้นหอม, ผักชี, มะเขือเปราะ, ใบมะกูด, ผักกาดหอม, ใบเตย</t>
  </si>
  <si>
    <t>พฤศจิกายน-ธ้นวาคม</t>
  </si>
  <si>
    <t>22/10/2021, 14:57:55</t>
  </si>
  <si>
    <t>นายฐานภัส พุ่มพวง</t>
  </si>
  <si>
    <t>ต้นหอม, ถั่วฝักยาว</t>
  </si>
  <si>
    <t>มะเขือเทศ</t>
  </si>
  <si>
    <t>มกราคม</t>
  </si>
  <si>
    <t xml:space="preserve">ปลูกแล้ว ชะอม มะกรูด ใบเตยกำลังจะปลูกมีต้นหอม1งาน,ผักชี1งาน สลัด เจ้าพระยาเพาะกล้าแล้ว </t>
  </si>
  <si>
    <t>22/10/2021, 15:26:44</t>
  </si>
  <si>
    <t>นางนัทมน หอมชื่น</t>
  </si>
  <si>
    <t>ต้นหอม, ผักกวางตุ้ง, ผักชี, ตะไคร้, ใบมะกูด</t>
  </si>
  <si>
    <t>ชีฝรั่ง</t>
  </si>
  <si>
    <t>22/10/2021, 17:05:20</t>
  </si>
  <si>
    <t>นภัสร์ นันตาบุตร</t>
  </si>
  <si>
    <t>ใบกระเพรา, ใบโหระพา, ตะไคร้, กระเจี๊ยบเขียว, ใบมะกูด</t>
  </si>
  <si>
    <t>ธค</t>
  </si>
  <si>
    <t>พื้นที่ปลูก ไร่ ต่อ สัปดาห์ x 1.25</t>
  </si>
  <si>
    <t>ใช้พื้นที่ทั้งหมด</t>
  </si>
  <si>
    <t>พื้นที่พร้อมปลูก (ไร่)</t>
  </si>
  <si>
    <t>22/10/2021, 22:06:13</t>
  </si>
  <si>
    <t>พีระพงษ์ มูลน้อย</t>
  </si>
  <si>
    <t>อำเภอเวียงหนองล่อง</t>
  </si>
  <si>
    <t>ปลูกแล้ว</t>
  </si>
  <si>
    <t>จำนวน นน. แต่ละรอบต่อเนื่องได้</t>
  </si>
  <si>
    <t>เกษตรกรที่สมัคร</t>
  </si>
  <si>
    <t>23/10/2021, 6:42:10</t>
  </si>
  <si>
    <t>ลักขณาด้วงทอง</t>
  </si>
  <si>
    <t>ต้นหอม, ผักบุ้ง, ผักชี, มะเขือเปราะ</t>
  </si>
  <si>
    <t>พฤศจิกายน</t>
  </si>
  <si>
    <t>จำนวนไร่</t>
  </si>
  <si>
    <t>พื้นที่เฉลี่ย</t>
  </si>
  <si>
    <t>23/10/2021, 11:43:34</t>
  </si>
  <si>
    <t>วิรัต กิติกิจ</t>
  </si>
  <si>
    <t>Row Labels</t>
  </si>
  <si>
    <t>Grand Total</t>
  </si>
  <si>
    <t>จำนวนพึชผัก</t>
  </si>
  <si>
    <t>Update</t>
  </si>
  <si>
    <t>23/10/2021, 16:44:39</t>
  </si>
  <si>
    <t>พีระพงษ์ มูลน้อย 2</t>
  </si>
  <si>
    <t>พ.ย. 2564</t>
  </si>
  <si>
    <t>week /ไร่</t>
  </si>
  <si>
    <t>25/10/2021, 9:39:27</t>
  </si>
  <si>
    <t>สุรัตน์ รุกขรัตน์</t>
  </si>
  <si>
    <t>ใบกระเพรา, ใบโหระพา, ตะไคร้, ถั่วฝักยาว, มะเขือเปราะ, กระเจี๊ยบเขียว, ใบมะกูด, ใบเตย, มะนาว</t>
  </si>
  <si>
    <t xml:space="preserve">ขมิ้น 0.25ไร่ ไพล0.25ไร่ </t>
  </si>
  <si>
    <t>พญ/2564</t>
  </si>
  <si>
    <t>25/10/2021, 9:40:50</t>
  </si>
  <si>
    <t>นายธีรวัตร ปุ๊ดภาษี</t>
  </si>
  <si>
    <t>ต้นหอม, ตะไคร้, กระเจี๊ยบเขียว</t>
  </si>
  <si>
    <t>ปลายเดือนพฤศจิกายน</t>
  </si>
  <si>
    <t>25/10/2021, 12:16:46</t>
  </si>
  <si>
    <t>นายสุบิน  แสนแปง</t>
  </si>
  <si>
    <t>ผักบุ้ง, ผักกวางตุ้ง, ผักชี, ใบกระเพรา, ตะไคร้, ถั่วฝักยาว, มะเขือเปราะ, มะนาว, กรีนโอ๊ค, เร็ดโอ๊ค</t>
  </si>
  <si>
    <t>แตงกวาหญี่ปุ่น จำนวน1งาน 0.25ไร่</t>
  </si>
  <si>
    <t>พศจิกายน 2564</t>
  </si>
  <si>
    <t>25/10/2021, 12:26:44</t>
  </si>
  <si>
    <t>นางรัตนา เรือนอินทร์</t>
  </si>
  <si>
    <t>ใบมะกูด, ใบเตย, มะนาว</t>
  </si>
  <si>
    <t>จิงจูฉ่าย</t>
  </si>
  <si>
    <t>ธันวาคม2564</t>
  </si>
  <si>
    <t>Sum of พื้นที่ ที่สามารถทำการเพาะปลูก (กี่ไร่)</t>
  </si>
  <si>
    <t>25/10/2021, 19:16:20</t>
  </si>
  <si>
    <t>รัตนา เรือนอินทร์</t>
  </si>
  <si>
    <t>ใบกระเพรา, ใบเตย, มะนาว</t>
  </si>
  <si>
    <t>มค 65</t>
  </si>
  <si>
    <t>26/10/2021, 14:49:40</t>
  </si>
  <si>
    <t>นายณรงค์กรณ์ คำแปง</t>
  </si>
  <si>
    <t>ตะไคร้, ใบมะกูด, ใบเตย, มะนาว</t>
  </si>
  <si>
    <t>ผักชี 1 งาน ผักบุ้ง 1 งาน โหระพา 1/2 งาน กระพรา 1/2 งาน</t>
  </si>
  <si>
    <t>ธ.ค.2564</t>
  </si>
  <si>
    <t>28/10/2021, 9:36:30</t>
  </si>
  <si>
    <t>จุฑามาศ ไชยชาติ</t>
  </si>
  <si>
    <t>ขึ้นฉ่าย, ตะไคร้, ใบเตย</t>
  </si>
  <si>
    <t>-</t>
  </si>
  <si>
    <t>อำเภอแม่ทา</t>
  </si>
  <si>
    <t>พ.ย.2564</t>
  </si>
  <si>
    <t>28/10/2021, 11:29:00</t>
  </si>
  <si>
    <t>นางเตือนจิตร ศรีสวัสดิ์เพ็ญ</t>
  </si>
  <si>
    <t>ขึ้นฉ่าย, ต้นหอม, ผักบุ้ง, ผักชี, ใบกระเพรา, ใบโหระพา, ตะไคร้, ถั่วฝักยาว, มะเขือเปราะ, กระเจี๊ยบเขียว, ใบมะกูด, ผักกาดหอม, ใบเตย, มะนาว</t>
  </si>
  <si>
    <t>ผักหวานป่า,ชะอม แตงกวา กระหลำ่ดอกปลูกแล้ว1งาน</t>
  </si>
  <si>
    <t>บางอย่างมีแล้วและบางอย่างเริ่มปลูกพฤศจิกายน</t>
  </si>
  <si>
    <t>29/10/2021, 21:21:03</t>
  </si>
  <si>
    <t>สันติ</t>
  </si>
  <si>
    <t>ใบกระเพรา, ใบโหระพา, ตะไคร้, กรีนโอ๊ค, เร็ดโอ๊ค, กรีนคอส</t>
  </si>
  <si>
    <t>พ.ย/2564</t>
  </si>
  <si>
    <t>(1)</t>
  </si>
  <si>
    <t>(2)</t>
  </si>
  <si>
    <t>(3)</t>
  </si>
  <si>
    <t>(4)</t>
  </si>
  <si>
    <t>เริ่ม วางแผนภาพรวม</t>
  </si>
  <si>
    <t>ชนิดพืช</t>
  </si>
  <si>
    <t>แผน การประชุมแยกตามชนิดพืช     กำหนดการแต่ละวัน  เวลา   19:30 - 22:00 ผ่าน ไลน์</t>
  </si>
  <si>
    <t>(blank)</t>
  </si>
  <si>
    <t>เกษตกร</t>
  </si>
  <si>
    <t>ชนิดพืชผัก</t>
  </si>
  <si>
    <t>รายการพืชที่สนใจปลูก</t>
  </si>
  <si>
    <t>30/10/2021, 9:00:29</t>
  </si>
  <si>
    <t>สว่าง คำไทย</t>
  </si>
  <si>
    <t>ผักบุ้ง, กระเจี๊ยบเขียว</t>
  </si>
  <si>
    <t>พ.ย. /2564</t>
  </si>
  <si>
    <t>30/10/2021, 10:23:44</t>
  </si>
  <si>
    <t>ใบกระเพรา, ใบโหระพา, ถั่วฝักยาว, กระเจี๊ยบเขียว, กรีนโอ๊ค, เร็ดโอ๊ค, กรีนคอส</t>
  </si>
  <si>
    <t>30/10/2021, 22:07:13</t>
  </si>
  <si>
    <t>นายเสวย คำไทย</t>
  </si>
  <si>
    <t>1.กล้วยน้ำว้า 3.5 ไร่  2.ว่านหางจรเข้ 0.75 ไร่</t>
  </si>
  <si>
    <t>ปลูกแล้ว ต.ค./2564</t>
  </si>
  <si>
    <t>31/10/2021, 6:39:31</t>
  </si>
  <si>
    <t>เรืองชัย สิงห์หล้า</t>
  </si>
  <si>
    <t>ตะไคร้, ใบมะกูด, มะนาว, กรีนโอ๊ค, กรีนคอส</t>
  </si>
  <si>
    <t xml:space="preserve">ธ.ค./2564 (กรีนโอ๊ค/กรีนคอส) อย่างอื่นปลูกไว้แล้ว </t>
  </si>
  <si>
    <t>31/10/2021, 18:39:07</t>
  </si>
  <si>
    <t>วิชิต  จอมทัน</t>
  </si>
  <si>
    <t>ข่า 20 ต้น</t>
  </si>
  <si>
    <t>ต.ค.64</t>
  </si>
  <si>
    <t>พันธ์ มาเล</t>
  </si>
  <si>
    <t>ตะไคร้, ใบมะกูด, ใบเตย, มะนาว, ผักชี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</si>
</sst>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0.000"/>
    <numFmt numFmtId="165" formatCode="_(* #,##0_);_(* \(#,##0\);_(* &quot;-&quot;??_);_(@_)"/>
    <numFmt numFmtId="166" formatCode="[$-107041E]d\ mmm\ yy;@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9C65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9C6500"/>
      <name val="Calibri"/>
      <family val="2"/>
      <scheme val="minor"/>
    </font>
    <font>
      <sz val="20"/>
      <color rgb="FF3F3F76"/>
      <name val="Calibri"/>
      <family val="2"/>
      <scheme val="minor"/>
    </font>
    <font>
      <sz val="20"/>
      <color rgb="FF0061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51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9" applyNumberFormat="0" applyAlignment="0" applyProtection="0"/>
    <xf numFmtId="0" fontId="15" fillId="12" borderId="10" applyNumberFormat="0" applyAlignment="0" applyProtection="0"/>
    <xf numFmtId="0" fontId="1" fillId="13" borderId="11" applyNumberFormat="0" applyFont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0" fillId="0" borderId="0" xfId="0" applyFill="1"/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2" borderId="2" xfId="0" applyFill="1" applyBorder="1"/>
    <xf numFmtId="0" fontId="0" fillId="0" borderId="2" xfId="0" applyFill="1" applyBorder="1"/>
    <xf numFmtId="0" fontId="0" fillId="3" borderId="2" xfId="0" applyFill="1" applyBorder="1"/>
    <xf numFmtId="0" fontId="3" fillId="0" borderId="0" xfId="0" applyFont="1"/>
    <xf numFmtId="0" fontId="3" fillId="0" borderId="0" xfId="0" applyFont="1" applyAlignment="1">
      <alignment horizontal="center" textRotation="89" shrinkToFit="1"/>
    </xf>
    <xf numFmtId="0" fontId="3" fillId="0" borderId="0" xfId="0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5" fillId="0" borderId="1" xfId="0" applyFont="1" applyBorder="1"/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5" borderId="2" xfId="0" applyFont="1" applyFill="1" applyBorder="1"/>
    <xf numFmtId="14" fontId="3" fillId="6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0" fillId="0" borderId="2" xfId="0" applyNumberFormat="1" applyBorder="1"/>
    <xf numFmtId="164" fontId="0" fillId="8" borderId="2" xfId="0" applyNumberFormat="1" applyFill="1" applyBorder="1"/>
    <xf numFmtId="0" fontId="0" fillId="0" borderId="1" xfId="0" applyBorder="1" applyAlignment="1">
      <alignment textRotation="90" shrinkToFit="1"/>
    </xf>
    <xf numFmtId="0" fontId="0" fillId="0" borderId="1" xfId="0" applyBorder="1"/>
    <xf numFmtId="0" fontId="0" fillId="0" borderId="5" xfId="0" applyFill="1" applyBorder="1"/>
    <xf numFmtId="3" fontId="0" fillId="0" borderId="5" xfId="0" applyNumberFormat="1" applyFill="1" applyBorder="1"/>
    <xf numFmtId="3" fontId="0" fillId="0" borderId="5" xfId="0" applyNumberFormat="1" applyBorder="1"/>
    <xf numFmtId="0" fontId="0" fillId="0" borderId="5" xfId="0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1" xfId="0" applyBorder="1" applyAlignment="1">
      <alignment horizontal="center"/>
    </xf>
    <xf numFmtId="0" fontId="3" fillId="7" borderId="1" xfId="0" applyFont="1" applyFill="1" applyBorder="1" applyAlignment="1">
      <alignment horizontal="center" textRotation="90"/>
    </xf>
    <xf numFmtId="0" fontId="3" fillId="7" borderId="5" xfId="0" applyFont="1" applyFill="1" applyBorder="1" applyAlignment="1">
      <alignment horizontal="center" textRotation="90"/>
    </xf>
    <xf numFmtId="0" fontId="3" fillId="7" borderId="2" xfId="0" applyFont="1" applyFill="1" applyBorder="1" applyAlignment="1">
      <alignment horizontal="center" textRotation="90"/>
    </xf>
    <xf numFmtId="2" fontId="0" fillId="0" borderId="0" xfId="0" applyNumberForma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5" xfId="0" applyFont="1" applyBorder="1"/>
    <xf numFmtId="0" fontId="6" fillId="0" borderId="2" xfId="0" applyFont="1" applyBorder="1"/>
    <xf numFmtId="0" fontId="6" fillId="0" borderId="2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6" fillId="8" borderId="2" xfId="0" applyFont="1" applyFill="1" applyBorder="1"/>
    <xf numFmtId="2" fontId="0" fillId="0" borderId="4" xfId="0" applyNumberFormat="1" applyBorder="1" applyAlignment="1">
      <alignment horizontal="center"/>
    </xf>
    <xf numFmtId="2" fontId="6" fillId="0" borderId="4" xfId="0" applyNumberFormat="1" applyFont="1" applyBorder="1" applyAlignment="1">
      <alignment horizontal="center"/>
    </xf>
    <xf numFmtId="0" fontId="6" fillId="0" borderId="2" xfId="0" applyFont="1" applyFill="1" applyBorder="1"/>
    <xf numFmtId="2" fontId="0" fillId="5" borderId="4" xfId="0" applyNumberFormat="1" applyFill="1" applyBorder="1" applyAlignment="1">
      <alignment horizontal="center"/>
    </xf>
    <xf numFmtId="2" fontId="6" fillId="5" borderId="4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5" xfId="0" applyFont="1" applyFill="1" applyBorder="1"/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5" xfId="0" applyFont="1" applyBorder="1"/>
    <xf numFmtId="0" fontId="7" fillId="0" borderId="2" xfId="0" applyFont="1" applyBorder="1"/>
    <xf numFmtId="0" fontId="7" fillId="0" borderId="2" xfId="0" applyFont="1" applyFill="1" applyBorder="1"/>
    <xf numFmtId="2" fontId="7" fillId="0" borderId="2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5" borderId="4" xfId="0" applyNumberFormat="1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2" fontId="0" fillId="0" borderId="2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5" fillId="0" borderId="1" xfId="0" applyNumberFormat="1" applyFont="1" applyBorder="1"/>
    <xf numFmtId="2" fontId="3" fillId="5" borderId="2" xfId="0" applyNumberFormat="1" applyFont="1" applyFill="1" applyBorder="1" applyAlignment="1">
      <alignment horizontal="center"/>
    </xf>
    <xf numFmtId="2" fontId="3" fillId="5" borderId="2" xfId="0" applyNumberFormat="1" applyFont="1" applyFill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164" fontId="0" fillId="0" borderId="0" xfId="0" applyNumberFormat="1" applyBorder="1"/>
    <xf numFmtId="0" fontId="7" fillId="0" borderId="0" xfId="0" applyFont="1" applyFill="1" applyBorder="1"/>
    <xf numFmtId="2" fontId="7" fillId="0" borderId="0" xfId="0" applyNumberFormat="1" applyFont="1" applyBorder="1" applyAlignment="1">
      <alignment horizontal="center"/>
    </xf>
    <xf numFmtId="2" fontId="7" fillId="5" borderId="0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3" fillId="5" borderId="4" xfId="0" applyFont="1" applyFill="1" applyBorder="1" applyAlignment="1">
      <alignment horizontal="center" textRotation="90"/>
    </xf>
    <xf numFmtId="0" fontId="9" fillId="4" borderId="1" xfId="0" applyFont="1" applyFill="1" applyBorder="1" applyAlignment="1">
      <alignment horizontal="center" textRotation="90"/>
    </xf>
    <xf numFmtId="2" fontId="6" fillId="4" borderId="6" xfId="0" applyNumberFormat="1" applyFon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2" fontId="6" fillId="4" borderId="7" xfId="0" applyNumberFormat="1" applyFont="1" applyFill="1" applyBorder="1" applyAlignment="1">
      <alignment horizontal="center"/>
    </xf>
    <xf numFmtId="2" fontId="7" fillId="4" borderId="7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0" fontId="0" fillId="14" borderId="2" xfId="0" applyFill="1" applyBorder="1"/>
    <xf numFmtId="0" fontId="0" fillId="14" borderId="2" xfId="0" quotePrefix="1" applyFill="1" applyBorder="1"/>
    <xf numFmtId="0" fontId="18" fillId="0" borderId="0" xfId="0" applyFont="1"/>
    <xf numFmtId="0" fontId="18" fillId="0" borderId="1" xfId="0" applyFont="1" applyBorder="1"/>
    <xf numFmtId="0" fontId="19" fillId="0" borderId="1" xfId="0" applyFont="1" applyBorder="1" applyAlignment="1">
      <alignment horizontal="center"/>
    </xf>
    <xf numFmtId="0" fontId="20" fillId="10" borderId="1" xfId="3" applyFont="1" applyBorder="1" applyAlignment="1">
      <alignment horizontal="center"/>
    </xf>
    <xf numFmtId="0" fontId="20" fillId="10" borderId="1" xfId="3" applyFont="1" applyBorder="1" applyAlignment="1">
      <alignment horizontal="center" vertical="center" wrapText="1"/>
    </xf>
    <xf numFmtId="0" fontId="21" fillId="11" borderId="1" xfId="4" applyFont="1" applyBorder="1" applyAlignment="1">
      <alignment horizontal="center"/>
    </xf>
    <xf numFmtId="0" fontId="22" fillId="9" borderId="1" xfId="2" applyFont="1" applyBorder="1" applyAlignment="1">
      <alignment horizontal="center"/>
    </xf>
    <xf numFmtId="0" fontId="22" fillId="13" borderId="1" xfId="6" applyFont="1" applyBorder="1" applyAlignment="1">
      <alignment horizontal="center"/>
    </xf>
    <xf numFmtId="0" fontId="23" fillId="12" borderId="1" xfId="5" applyFont="1" applyBorder="1" applyAlignment="1">
      <alignment horizontal="center"/>
    </xf>
    <xf numFmtId="0" fontId="24" fillId="0" borderId="0" xfId="0" applyFont="1"/>
    <xf numFmtId="0" fontId="19" fillId="15" borderId="1" xfId="0" applyFont="1" applyFill="1" applyBorder="1" applyAlignment="1">
      <alignment horizontal="center"/>
    </xf>
    <xf numFmtId="166" fontId="20" fillId="10" borderId="1" xfId="3" applyNumberFormat="1" applyFont="1" applyBorder="1" applyAlignment="1">
      <alignment horizontal="center"/>
    </xf>
    <xf numFmtId="166" fontId="22" fillId="9" borderId="1" xfId="2" applyNumberFormat="1" applyFont="1" applyBorder="1" applyAlignment="1">
      <alignment horizontal="center"/>
    </xf>
    <xf numFmtId="166" fontId="21" fillId="11" borderId="1" xfId="4" applyNumberFormat="1" applyFont="1" applyBorder="1" applyAlignment="1">
      <alignment horizontal="center"/>
    </xf>
    <xf numFmtId="166" fontId="20" fillId="13" borderId="1" xfId="6" applyNumberFormat="1" applyFont="1" applyBorder="1" applyAlignment="1">
      <alignment horizontal="center"/>
    </xf>
    <xf numFmtId="166" fontId="23" fillId="12" borderId="1" xfId="5" applyNumberFormat="1" applyFont="1" applyBorder="1" applyAlignment="1">
      <alignment horizontal="center"/>
    </xf>
    <xf numFmtId="0" fontId="16" fillId="10" borderId="1" xfId="3" applyFont="1" applyBorder="1"/>
    <xf numFmtId="0" fontId="18" fillId="0" borderId="1" xfId="0" applyFont="1" applyBorder="1" applyAlignment="1">
      <alignment shrinkToFit="1"/>
    </xf>
    <xf numFmtId="14" fontId="19" fillId="0" borderId="1" xfId="0" applyNumberFormat="1" applyFont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0" fillId="0" borderId="2" xfId="0" quotePrefix="1" applyFill="1" applyBorder="1"/>
    <xf numFmtId="0" fontId="3" fillId="5" borderId="3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20" fillId="10" borderId="1" xfId="3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/>
    </xf>
    <xf numFmtId="0" fontId="13" fillId="10" borderId="1" xfId="3" applyBorder="1" applyAlignment="1">
      <alignment horizontal="center"/>
    </xf>
    <xf numFmtId="0" fontId="18" fillId="0" borderId="12" xfId="0" applyFont="1" applyBorder="1" applyAlignment="1">
      <alignment horizontal="left"/>
    </xf>
    <xf numFmtId="0" fontId="18" fillId="0" borderId="13" xfId="0" applyFont="1" applyBorder="1" applyAlignment="1">
      <alignment horizontal="left"/>
    </xf>
    <xf numFmtId="0" fontId="18" fillId="0" borderId="14" xfId="0" applyFont="1" applyBorder="1" applyAlignment="1">
      <alignment horizontal="left"/>
    </xf>
    <xf numFmtId="0" fontId="17" fillId="0" borderId="1" xfId="0" applyFont="1" applyBorder="1" applyAlignment="1">
      <alignment horizontal="left"/>
    </xf>
  </cellXfs>
  <cellStyles count="7">
    <cellStyle name="Check Cell" xfId="5" builtinId="23"/>
    <cellStyle name="Comma" xfId="1" builtinId="3"/>
    <cellStyle name="Good" xfId="2" builtinId="26"/>
    <cellStyle name="Input" xfId="4" builtinId="20"/>
    <cellStyle name="Neutral" xfId="3" builtinId="28"/>
    <cellStyle name="Normal" xfId="0" builtinId="0"/>
    <cellStyle name="Note" xfId="6" builtinId="10"/>
  </cellStyles>
  <dxfs count="3">
    <dxf>
      <font>
        <color rgb="FFFF0000"/>
      </font>
    </dxf>
    <dxf>
      <fill>
        <patternFill>
          <bgColor theme="9" tint="0.39994506668294322"/>
        </patternFill>
      </fill>
    </dxf>
    <dxf>
      <font>
        <color theme="0" tint="-0.1499679555650502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[แผนปลูกผัก.xlsm]pivot!PivotTable1</c:name>
    <c:fmtId val="0"/>
  </c:pivotSource>
  <c:chart>
    <c:title>
      <c:tx>
        <c:rich>
          <a:bodyPr/>
          <a:lstStyle/>
          <a:p>
            <a:pPr>
              <a:defRPr sz="1200"/>
            </a:pPr>
            <a:r>
              <a:rPr lang="th-TH" sz="1200"/>
              <a:t>พื้นที่พร้อมปลูก</a:t>
            </a:r>
            <a:r>
              <a:rPr lang="th-TH" sz="1200" baseline="0"/>
              <a:t> แยกตาม อำเภอ</a:t>
            </a:r>
            <a:r>
              <a:rPr lang="en-US" sz="1200" baseline="0"/>
              <a:t>  (</a:t>
            </a:r>
            <a:r>
              <a:rPr lang="th-TH" sz="1200" baseline="0"/>
              <a:t>หน่วย ไร่</a:t>
            </a:r>
            <a:r>
              <a:rPr lang="en-US" sz="1200" baseline="0"/>
              <a:t>)</a:t>
            </a:r>
            <a:endParaRPr lang="en-US" sz="1200"/>
          </a:p>
        </c:rich>
      </c:tx>
      <c:layout>
        <c:manualLayout>
          <c:xMode val="edge"/>
          <c:yMode val="edge"/>
          <c:x val="9.1326303510312761E-5"/>
          <c:y val="0"/>
        </c:manualLayout>
      </c:layout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  <c:showCatName val="1"/>
        </c:dLbl>
      </c:pivotFmt>
      <c:pivotFmt>
        <c:idx val="1"/>
        <c:dLbl>
          <c:idx val="0"/>
          <c:layout>
            <c:manualLayout>
              <c:x val="4.4253733634172919E-2"/>
              <c:y val="0.10039918228894609"/>
            </c:manualLayout>
          </c:layout>
          <c:showVal val="1"/>
          <c:showCatName val="1"/>
        </c:dLbl>
      </c:pivotFmt>
      <c:pivotFmt>
        <c:idx val="2"/>
        <c:dLbl>
          <c:idx val="0"/>
          <c:layout>
            <c:manualLayout>
              <c:x val="-4.0570175438596486E-2"/>
              <c:y val="-0.19677236291409519"/>
            </c:manualLayout>
          </c:layout>
          <c:showVal val="1"/>
          <c:showCatName val="1"/>
        </c:dLbl>
      </c:pivotFmt>
      <c:pivotFmt>
        <c:idx val="3"/>
        <c:dLbl>
          <c:idx val="0"/>
          <c:layout>
            <c:manualLayout>
              <c:x val="6.3631601970806431E-2"/>
              <c:y val="-8.2276048417780703E-2"/>
            </c:manualLayout>
          </c:layout>
          <c:showVal val="1"/>
          <c:showCatName val="1"/>
        </c:dLbl>
      </c:pivotFmt>
      <c:pivotFmt>
        <c:idx val="4"/>
        <c:dLbl>
          <c:idx val="0"/>
          <c:layout>
            <c:manualLayout>
              <c:x val="6.4827189912664424E-2"/>
              <c:y val="-5.3258269006300506E-2"/>
            </c:manualLayout>
          </c:layout>
          <c:showVal val="1"/>
          <c:showCatName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  <c:showCatName val="1"/>
          <c:showPercent val="1"/>
        </c:dLbl>
      </c:pivotFmt>
      <c:pivotFmt>
        <c:idx val="6"/>
        <c:dLbl>
          <c:idx val="0"/>
          <c:layout>
            <c:manualLayout>
              <c:x val="-7.1550408770673965E-2"/>
              <c:y val="-0.38256205382189684"/>
            </c:manualLayout>
          </c:layout>
          <c:showVal val="1"/>
          <c:showCatName val="1"/>
          <c:showPercent val="1"/>
        </c:dLbl>
      </c:pivotFmt>
      <c:pivotFmt>
        <c:idx val="7"/>
        <c:dLbl>
          <c:idx val="0"/>
          <c:layout>
            <c:manualLayout>
              <c:x val="-3.8563490967137869E-2"/>
              <c:y val="-7.5309059954729377E-2"/>
            </c:manualLayout>
          </c:layout>
          <c:showVal val="1"/>
          <c:showCatName val="1"/>
          <c:showPercent val="1"/>
        </c:dLbl>
      </c:pivotFmt>
      <c:pivotFmt>
        <c:idx val="8"/>
        <c:dLbl>
          <c:idx val="0"/>
          <c:layout>
            <c:manualLayout>
              <c:x val="4.5593157015660121E-2"/>
              <c:y val="0.12714407320706542"/>
            </c:manualLayout>
          </c:layout>
          <c:showVal val="1"/>
          <c:showCatName val="1"/>
          <c:showPercent val="1"/>
        </c:dLbl>
      </c:pivotFmt>
      <c:pivotFmt>
        <c:idx val="9"/>
        <c:dLbl>
          <c:idx val="0"/>
          <c:layout>
            <c:manualLayout>
              <c:x val="4.5043149759788785E-2"/>
              <c:y val="-0.11725125268432356"/>
            </c:manualLayout>
          </c:layout>
          <c:showVal val="1"/>
          <c:showCatName val="1"/>
          <c:showPercent val="1"/>
        </c:dLbl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pivot!$B$3</c:f>
              <c:strCache>
                <c:ptCount val="1"/>
                <c:pt idx="0">
                  <c:v>Total</c:v>
                </c:pt>
              </c:strCache>
            </c:strRef>
          </c:tx>
          <c:dLbls>
            <c:dLbl>
              <c:idx val="0"/>
              <c:layout>
                <c:manualLayout>
                  <c:x val="-3.8563490967137869E-2"/>
                  <c:y val="-7.5309059954729377E-2"/>
                </c:manualLayout>
              </c:layout>
              <c:showVal val="1"/>
              <c:showCatName val="1"/>
              <c:showPercent val="1"/>
            </c:dLbl>
            <c:dLbl>
              <c:idx val="1"/>
              <c:layout>
                <c:manualLayout>
                  <c:x val="4.5043149759788785E-2"/>
                  <c:y val="-0.11725125268432356"/>
                </c:manualLayout>
              </c:layout>
              <c:showVal val="1"/>
              <c:showCatName val="1"/>
              <c:showPercent val="1"/>
            </c:dLbl>
            <c:dLbl>
              <c:idx val="2"/>
              <c:layout>
                <c:manualLayout>
                  <c:x val="4.5593157015660121E-2"/>
                  <c:y val="0.12714407320706542"/>
                </c:manualLayout>
              </c:layout>
              <c:showVal val="1"/>
              <c:showCatName val="1"/>
              <c:showPercent val="1"/>
            </c:dLbl>
            <c:dLbl>
              <c:idx val="3"/>
              <c:layout>
                <c:manualLayout>
                  <c:x val="-7.1550408770673965E-2"/>
                  <c:y val="-0.38256205382189684"/>
                </c:manualLayout>
              </c:layout>
              <c:showVal val="1"/>
              <c:showCatName val="1"/>
              <c:showPercent val="1"/>
            </c:dLbl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  <c:showCatName val="1"/>
            <c:showPercent val="1"/>
            <c:showLeaderLines val="1"/>
          </c:dLbls>
          <c:cat>
            <c:strRef>
              <c:f>pivot!$A$4:$A$8</c:f>
              <c:strCache>
                <c:ptCount val="4"/>
                <c:pt idx="0">
                  <c:v>อำเภอเมืองลำพูน</c:v>
                </c:pt>
                <c:pt idx="1">
                  <c:v>อำเภอเวียงหนองล่อง</c:v>
                </c:pt>
                <c:pt idx="2">
                  <c:v>อำเภอบ้านโฮ่ง</c:v>
                </c:pt>
                <c:pt idx="3">
                  <c:v>อำเภอลี้</c:v>
                </c:pt>
              </c:strCache>
            </c:strRef>
          </c:cat>
          <c:val>
            <c:numRef>
              <c:f>pivot!$B$4:$B$8</c:f>
              <c:numCache>
                <c:formatCode>General</c:formatCode>
                <c:ptCount val="4"/>
                <c:pt idx="0">
                  <c:v>5</c:v>
                </c:pt>
                <c:pt idx="1">
                  <c:v>5.5</c:v>
                </c:pt>
                <c:pt idx="2">
                  <c:v>10.75</c:v>
                </c:pt>
                <c:pt idx="3">
                  <c:v>22.5</c:v>
                </c:pt>
              </c:numCache>
            </c:numRef>
          </c:val>
        </c:ser>
      </c:pie3DChart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th-TH" sz="1200"/>
              <a:t>พื้นที่พร้อมปลูก</a:t>
            </a:r>
            <a:r>
              <a:rPr lang="th-TH" sz="1200" baseline="0"/>
              <a:t> หน่วย ไร่</a:t>
            </a:r>
            <a:endParaRPr lang="en-US" sz="1200"/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v>พื้นที่พร้อมปลูก ไร่</c:v>
          </c:tx>
          <c:dLbls>
            <c:showVal val="1"/>
          </c:dLbls>
          <c:cat>
            <c:strRef>
              <c:f>main!$C$3:$C$20</c:f>
              <c:strCache>
                <c:ptCount val="18"/>
                <c:pt idx="0">
                  <c:v>ขึ้นฉ่าย</c:v>
                </c:pt>
                <c:pt idx="1">
                  <c:v>ต้นหอม</c:v>
                </c:pt>
                <c:pt idx="2">
                  <c:v>ผักบุ้ง</c:v>
                </c:pt>
                <c:pt idx="3">
                  <c:v>ผักกวางตุ้ง</c:v>
                </c:pt>
                <c:pt idx="4">
                  <c:v>ผักชี</c:v>
                </c:pt>
                <c:pt idx="5">
                  <c:v>ใบกระเพรา</c:v>
                </c:pt>
                <c:pt idx="6">
                  <c:v>ใบโหระพา</c:v>
                </c:pt>
                <c:pt idx="7">
                  <c:v>ตะไคร้</c:v>
                </c:pt>
                <c:pt idx="8">
                  <c:v>ถั่วฝักยาว</c:v>
                </c:pt>
                <c:pt idx="9">
                  <c:v>มะเขือเปราะ</c:v>
                </c:pt>
                <c:pt idx="10">
                  <c:v>กระเจี๊ยบเขียว</c:v>
                </c:pt>
                <c:pt idx="11">
                  <c:v>ใบมะกูด</c:v>
                </c:pt>
                <c:pt idx="12">
                  <c:v>ผักกาดหอม</c:v>
                </c:pt>
                <c:pt idx="13">
                  <c:v>ใบเตย</c:v>
                </c:pt>
                <c:pt idx="14">
                  <c:v>มะนาว</c:v>
                </c:pt>
                <c:pt idx="15">
                  <c:v>กรีนโอ๊ค</c:v>
                </c:pt>
                <c:pt idx="16">
                  <c:v>เร็ดโอ๊ค</c:v>
                </c:pt>
                <c:pt idx="17">
                  <c:v>กรีนคอส</c:v>
                </c:pt>
              </c:strCache>
            </c:strRef>
          </c:cat>
          <c:val>
            <c:numRef>
              <c:f>main!$P$3:$P$20</c:f>
              <c:numCache>
                <c:formatCode>0.00</c:formatCode>
                <c:ptCount val="18"/>
                <c:pt idx="0">
                  <c:v>2.9761904761904758</c:v>
                </c:pt>
                <c:pt idx="1">
                  <c:v>1.9178571428571431</c:v>
                </c:pt>
                <c:pt idx="2">
                  <c:v>3.092857142857143</c:v>
                </c:pt>
                <c:pt idx="3">
                  <c:v>0.35</c:v>
                </c:pt>
                <c:pt idx="4">
                  <c:v>1.4928571428571429</c:v>
                </c:pt>
                <c:pt idx="5">
                  <c:v>2.6841269841269835</c:v>
                </c:pt>
                <c:pt idx="6">
                  <c:v>2.0674603174603172</c:v>
                </c:pt>
                <c:pt idx="7">
                  <c:v>5.7484126984126993</c:v>
                </c:pt>
                <c:pt idx="8">
                  <c:v>1.2257936507936504</c:v>
                </c:pt>
                <c:pt idx="9">
                  <c:v>1.3150793650793648</c:v>
                </c:pt>
                <c:pt idx="10">
                  <c:v>2.1674603174603173</c:v>
                </c:pt>
                <c:pt idx="11">
                  <c:v>3.3817460317460317</c:v>
                </c:pt>
                <c:pt idx="12">
                  <c:v>0.72619047619047605</c:v>
                </c:pt>
                <c:pt idx="13">
                  <c:v>3.9484126984126982</c:v>
                </c:pt>
                <c:pt idx="14">
                  <c:v>7.2484126984126984</c:v>
                </c:pt>
                <c:pt idx="15">
                  <c:v>2.0690476190476192</c:v>
                </c:pt>
                <c:pt idx="16">
                  <c:v>1.2190476190476189</c:v>
                </c:pt>
                <c:pt idx="17">
                  <c:v>1.8690476190476191</c:v>
                </c:pt>
              </c:numCache>
            </c:numRef>
          </c:val>
        </c:ser>
        <c:axId val="163891840"/>
        <c:axId val="166302080"/>
      </c:barChart>
      <c:lineChart>
        <c:grouping val="standard"/>
        <c:ser>
          <c:idx val="1"/>
          <c:order val="1"/>
          <c:tx>
            <c:v>พื้นที่ ที่ต้องการ ไร่</c:v>
          </c:tx>
          <c:spPr>
            <a:ln w="12700"/>
          </c:spPr>
          <c:marker>
            <c:symbol val="circle"/>
            <c:size val="2"/>
          </c:marker>
          <c:val>
            <c:numRef>
              <c:f>main!$Q$3:$Q$20</c:f>
              <c:numCache>
                <c:formatCode>0.00</c:formatCode>
                <c:ptCount val="18"/>
                <c:pt idx="0">
                  <c:v>2</c:v>
                </c:pt>
                <c:pt idx="1">
                  <c:v>3.5</c:v>
                </c:pt>
                <c:pt idx="2">
                  <c:v>3.75</c:v>
                </c:pt>
                <c:pt idx="3">
                  <c:v>6</c:v>
                </c:pt>
                <c:pt idx="4">
                  <c:v>5.25</c:v>
                </c:pt>
                <c:pt idx="5">
                  <c:v>1.5</c:v>
                </c:pt>
                <c:pt idx="6">
                  <c:v>1.5</c:v>
                </c:pt>
                <c:pt idx="7">
                  <c:v>9</c:v>
                </c:pt>
                <c:pt idx="8">
                  <c:v>1.75</c:v>
                </c:pt>
                <c:pt idx="9">
                  <c:v>2.2222222222222223</c:v>
                </c:pt>
                <c:pt idx="10">
                  <c:v>2</c:v>
                </c:pt>
                <c:pt idx="11">
                  <c:v>0</c:v>
                </c:pt>
                <c:pt idx="12">
                  <c:v>2.75</c:v>
                </c:pt>
                <c:pt idx="13">
                  <c:v>1.75</c:v>
                </c:pt>
                <c:pt idx="14">
                  <c:v>0</c:v>
                </c:pt>
                <c:pt idx="15">
                  <c:v>3.125</c:v>
                </c:pt>
                <c:pt idx="16">
                  <c:v>3.125</c:v>
                </c:pt>
                <c:pt idx="17">
                  <c:v>3.125</c:v>
                </c:pt>
              </c:numCache>
            </c:numRef>
          </c:val>
        </c:ser>
        <c:marker val="1"/>
        <c:axId val="163891840"/>
        <c:axId val="166302080"/>
      </c:lineChart>
      <c:catAx>
        <c:axId val="163891840"/>
        <c:scaling>
          <c:orientation val="minMax"/>
        </c:scaling>
        <c:axPos val="b"/>
        <c:tickLblPos val="nextTo"/>
        <c:crossAx val="166302080"/>
        <c:crosses val="autoZero"/>
        <c:auto val="1"/>
        <c:lblAlgn val="ctr"/>
        <c:lblOffset val="100"/>
      </c:catAx>
      <c:valAx>
        <c:axId val="166302080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th-TH"/>
                  <a:t>จำนวนไร่</a:t>
                </a:r>
                <a:endParaRPr lang="en-US"/>
              </a:p>
            </c:rich>
          </c:tx>
        </c:title>
        <c:numFmt formatCode="0.00" sourceLinked="1"/>
        <c:tickLblPos val="nextTo"/>
        <c:crossAx val="163891840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78315454367746851"/>
          <c:y val="0.11545834776382301"/>
          <c:w val="0.20515357334324302"/>
          <c:h val="0.12198789060912646"/>
        </c:manualLayout>
      </c:layout>
      <c:overlay val="1"/>
    </c:legend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200"/>
            </a:pPr>
            <a:r>
              <a:rPr lang="th-TH" sz="1200"/>
              <a:t>จำนวน ชนิดพืชที่ พร้อมปลูก</a:t>
            </a:r>
            <a:endParaRPr lang="en-US" sz="1200"/>
          </a:p>
        </c:rich>
      </c:tx>
    </c:title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strRef>
              <c:f>main!$T$2:$AV$2</c:f>
              <c:strCache>
                <c:ptCount val="29"/>
                <c:pt idx="0">
                  <c:v>บุปผา เหลืองสอาดกุล</c:v>
                </c:pt>
                <c:pt idx="1">
                  <c:v>ยุภา เจริญชัย</c:v>
                </c:pt>
                <c:pt idx="2">
                  <c:v>สำเริง หรั่งนางรอง</c:v>
                </c:pt>
                <c:pt idx="3">
                  <c:v>พงศ์พิจิตร อุตมโภไคย</c:v>
                </c:pt>
                <c:pt idx="4">
                  <c:v>สานิตย์ แก้วทิพย์</c:v>
                </c:pt>
                <c:pt idx="5">
                  <c:v>นางสุภาพ ตะยะพงค์</c:v>
                </c:pt>
                <c:pt idx="6">
                  <c:v>นางสาวศรีพรรณ หมื่นปัญญา</c:v>
                </c:pt>
                <c:pt idx="7">
                  <c:v>นางกิติชา ปาลีย์กุย</c:v>
                </c:pt>
                <c:pt idx="8">
                  <c:v>นายฐานภัส พุ่มพวง</c:v>
                </c:pt>
                <c:pt idx="9">
                  <c:v>นางนัทมน หอมชื่น</c:v>
                </c:pt>
                <c:pt idx="10">
                  <c:v>นภัสร์ นันตาบุตร</c:v>
                </c:pt>
                <c:pt idx="11">
                  <c:v>พีระพงษ์ มูลน้อย</c:v>
                </c:pt>
                <c:pt idx="12">
                  <c:v>ลักขณาด้วงทอง</c:v>
                </c:pt>
                <c:pt idx="13">
                  <c:v>วิรัต กิติกิจ</c:v>
                </c:pt>
                <c:pt idx="14">
                  <c:v>พีระพงษ์ มูลน้อย 2</c:v>
                </c:pt>
                <c:pt idx="15">
                  <c:v>สุรัตน์ รุกขรัตน์</c:v>
                </c:pt>
                <c:pt idx="16">
                  <c:v>นายธีรวัตร ปุ๊ดภาษี</c:v>
                </c:pt>
                <c:pt idx="17">
                  <c:v>นายสุบิน  แสนแปง</c:v>
                </c:pt>
                <c:pt idx="18">
                  <c:v>นางรัตนา เรือนอินทร์</c:v>
                </c:pt>
                <c:pt idx="19">
                  <c:v>รัตนา เรือนอินทร์</c:v>
                </c:pt>
                <c:pt idx="20">
                  <c:v>นายณรงค์กรณ์ คำแปง</c:v>
                </c:pt>
                <c:pt idx="21">
                  <c:v>จุฑามาศ ไชยชาติ</c:v>
                </c:pt>
                <c:pt idx="22">
                  <c:v>นางเตือนจิตร ศรีสวัสดิ์เพ็ญ</c:v>
                </c:pt>
                <c:pt idx="23">
                  <c:v>สันติ</c:v>
                </c:pt>
                <c:pt idx="24">
                  <c:v>สว่าง คำไทย</c:v>
                </c:pt>
                <c:pt idx="25">
                  <c:v>พงศ์พิจิตร อุตมโภไคย</c:v>
                </c:pt>
                <c:pt idx="26">
                  <c:v>นายเสวย คำไทย</c:v>
                </c:pt>
                <c:pt idx="27">
                  <c:v>เรืองชัย สิงห์หล้า</c:v>
                </c:pt>
                <c:pt idx="28">
                  <c:v>วิชิต  จอมทัน</c:v>
                </c:pt>
              </c:strCache>
            </c:strRef>
          </c:cat>
          <c:val>
            <c:numRef>
              <c:f>main!$T$100:$AV$100</c:f>
              <c:numCache>
                <c:formatCode>0.00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6</c:v>
                </c:pt>
                <c:pt idx="6">
                  <c:v>12</c:v>
                </c:pt>
                <c:pt idx="7">
                  <c:v>6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4</c:v>
                </c:pt>
                <c:pt idx="13">
                  <c:v>1</c:v>
                </c:pt>
                <c:pt idx="14">
                  <c:v>1</c:v>
                </c:pt>
                <c:pt idx="15">
                  <c:v>9</c:v>
                </c:pt>
                <c:pt idx="16">
                  <c:v>3</c:v>
                </c:pt>
                <c:pt idx="17">
                  <c:v>10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14</c:v>
                </c:pt>
                <c:pt idx="23">
                  <c:v>6</c:v>
                </c:pt>
                <c:pt idx="24">
                  <c:v>2</c:v>
                </c:pt>
                <c:pt idx="25">
                  <c:v>7</c:v>
                </c:pt>
                <c:pt idx="26">
                  <c:v>1</c:v>
                </c:pt>
                <c:pt idx="27">
                  <c:v>5</c:v>
                </c:pt>
                <c:pt idx="28">
                  <c:v>1</c:v>
                </c:pt>
              </c:numCache>
            </c:numRef>
          </c:val>
        </c:ser>
        <c:axId val="167101184"/>
        <c:axId val="167102720"/>
      </c:barChart>
      <c:lineChart>
        <c:grouping val="standard"/>
        <c:ser>
          <c:idx val="1"/>
          <c:order val="1"/>
          <c:spPr>
            <a:ln w="15875"/>
          </c:spPr>
          <c:marker>
            <c:symbol val="circle"/>
            <c:size val="2"/>
          </c:marker>
          <c:cat>
            <c:strRef>
              <c:f>main!$T$2:$AV$2</c:f>
              <c:strCache>
                <c:ptCount val="29"/>
                <c:pt idx="0">
                  <c:v>บุปผา เหลืองสอาดกุล</c:v>
                </c:pt>
                <c:pt idx="1">
                  <c:v>ยุภา เจริญชัย</c:v>
                </c:pt>
                <c:pt idx="2">
                  <c:v>สำเริง หรั่งนางรอง</c:v>
                </c:pt>
                <c:pt idx="3">
                  <c:v>พงศ์พิจิตร อุตมโภไคย</c:v>
                </c:pt>
                <c:pt idx="4">
                  <c:v>สานิตย์ แก้วทิพย์</c:v>
                </c:pt>
                <c:pt idx="5">
                  <c:v>นางสุภาพ ตะยะพงค์</c:v>
                </c:pt>
                <c:pt idx="6">
                  <c:v>นางสาวศรีพรรณ หมื่นปัญญา</c:v>
                </c:pt>
                <c:pt idx="7">
                  <c:v>นางกิติชา ปาลีย์กุย</c:v>
                </c:pt>
                <c:pt idx="8">
                  <c:v>นายฐานภัส พุ่มพวง</c:v>
                </c:pt>
                <c:pt idx="9">
                  <c:v>นางนัทมน หอมชื่น</c:v>
                </c:pt>
                <c:pt idx="10">
                  <c:v>นภัสร์ นันตาบุตร</c:v>
                </c:pt>
                <c:pt idx="11">
                  <c:v>พีระพงษ์ มูลน้อย</c:v>
                </c:pt>
                <c:pt idx="12">
                  <c:v>ลักขณาด้วงทอง</c:v>
                </c:pt>
                <c:pt idx="13">
                  <c:v>วิรัต กิติกิจ</c:v>
                </c:pt>
                <c:pt idx="14">
                  <c:v>พีระพงษ์ มูลน้อย 2</c:v>
                </c:pt>
                <c:pt idx="15">
                  <c:v>สุรัตน์ รุกขรัตน์</c:v>
                </c:pt>
                <c:pt idx="16">
                  <c:v>นายธีรวัตร ปุ๊ดภาษี</c:v>
                </c:pt>
                <c:pt idx="17">
                  <c:v>นายสุบิน  แสนแปง</c:v>
                </c:pt>
                <c:pt idx="18">
                  <c:v>นางรัตนา เรือนอินทร์</c:v>
                </c:pt>
                <c:pt idx="19">
                  <c:v>รัตนา เรือนอินทร์</c:v>
                </c:pt>
                <c:pt idx="20">
                  <c:v>นายณรงค์กรณ์ คำแปง</c:v>
                </c:pt>
                <c:pt idx="21">
                  <c:v>จุฑามาศ ไชยชาติ</c:v>
                </c:pt>
                <c:pt idx="22">
                  <c:v>นางเตือนจิตร ศรีสวัสดิ์เพ็ญ</c:v>
                </c:pt>
                <c:pt idx="23">
                  <c:v>สันติ</c:v>
                </c:pt>
                <c:pt idx="24">
                  <c:v>สว่าง คำไทย</c:v>
                </c:pt>
                <c:pt idx="25">
                  <c:v>พงศ์พิจิตร อุตมโภไคย</c:v>
                </c:pt>
                <c:pt idx="26">
                  <c:v>นายเสวย คำไทย</c:v>
                </c:pt>
                <c:pt idx="27">
                  <c:v>เรืองชัย สิงห์หล้า</c:v>
                </c:pt>
                <c:pt idx="28">
                  <c:v>วิชิต  จอมทัน</c:v>
                </c:pt>
              </c:strCache>
            </c:strRef>
          </c:cat>
          <c:val>
            <c:numRef>
              <c:f>main!$T$101:$AV$101</c:f>
              <c:numCache>
                <c:formatCode>0.00</c:formatCode>
                <c:ptCount val="29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0.5</c:v>
                </c:pt>
                <c:pt idx="6">
                  <c:v>3</c:v>
                </c:pt>
                <c:pt idx="7">
                  <c:v>1</c:v>
                </c:pt>
                <c:pt idx="8">
                  <c:v>0.25</c:v>
                </c:pt>
                <c:pt idx="9">
                  <c:v>0.75</c:v>
                </c:pt>
                <c:pt idx="10">
                  <c:v>0.5</c:v>
                </c:pt>
                <c:pt idx="11">
                  <c:v>0.5</c:v>
                </c:pt>
                <c:pt idx="12">
                  <c:v>1</c:v>
                </c:pt>
                <c:pt idx="13">
                  <c:v>2.5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0.5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3.5</c:v>
                </c:pt>
                <c:pt idx="27">
                  <c:v>3</c:v>
                </c:pt>
                <c:pt idx="28">
                  <c:v>0.25</c:v>
                </c:pt>
              </c:numCache>
            </c:numRef>
          </c:val>
        </c:ser>
        <c:marker val="1"/>
        <c:axId val="163645696"/>
        <c:axId val="163643776"/>
      </c:lineChart>
      <c:catAx>
        <c:axId val="167101184"/>
        <c:scaling>
          <c:orientation val="minMax"/>
        </c:scaling>
        <c:axPos val="b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7102720"/>
        <c:crosses val="autoZero"/>
        <c:auto val="1"/>
        <c:lblAlgn val="ctr"/>
        <c:lblOffset val="100"/>
      </c:catAx>
      <c:valAx>
        <c:axId val="167102720"/>
        <c:scaling>
          <c:orientation val="minMax"/>
        </c:scaling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th-TH">
                    <a:solidFill>
                      <a:srgbClr val="0070C0"/>
                    </a:solidFill>
                  </a:rPr>
                  <a:t>ชนิดพืช</a:t>
                </a:r>
                <a:endParaRPr lang="en-US">
                  <a:solidFill>
                    <a:srgbClr val="0070C0"/>
                  </a:solidFill>
                </a:endParaRPr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67101184"/>
        <c:crosses val="autoZero"/>
        <c:crossBetween val="between"/>
      </c:valAx>
      <c:valAx>
        <c:axId val="163643776"/>
        <c:scaling>
          <c:orientation val="minMax"/>
        </c:scaling>
        <c:axPos val="r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r>
                  <a:rPr lang="th-TH">
                    <a:solidFill>
                      <a:srgbClr val="FF0000"/>
                    </a:solidFill>
                  </a:rPr>
                  <a:t>ไร่</a:t>
                </a:r>
                <a:endParaRPr lang="en-US">
                  <a:solidFill>
                    <a:srgbClr val="FF0000"/>
                  </a:solidFill>
                </a:endParaRPr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163645696"/>
        <c:crosses val="max"/>
        <c:crossBetween val="between"/>
      </c:valAx>
      <c:catAx>
        <c:axId val="163645696"/>
        <c:scaling>
          <c:orientation val="minMax"/>
        </c:scaling>
        <c:delete val="1"/>
        <c:axPos val="b"/>
        <c:tickLblPos val="none"/>
        <c:crossAx val="163643776"/>
        <c:crosses val="autoZero"/>
        <c:auto val="1"/>
        <c:lblAlgn val="ctr"/>
        <c:lblOffset val="100"/>
      </c:catAx>
    </c:plotArea>
    <c:legend>
      <c:legendPos val="tr"/>
      <c:legendEntry>
        <c:idx val="0"/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74254758673066057"/>
          <c:y val="1.0792057744257124E-2"/>
          <c:w val="0.12701688064148162"/>
          <c:h val="9.6852391124194248E-2"/>
        </c:manualLayout>
      </c:layout>
      <c:overlay val="1"/>
    </c:legend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144780</xdr:rowOff>
    </xdr:from>
    <xdr:to>
      <xdr:col>13</xdr:col>
      <xdr:colOff>320040</xdr:colOff>
      <xdr:row>18</xdr:row>
      <xdr:rowOff>137160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116541</xdr:colOff>
      <xdr:row>127</xdr:row>
      <xdr:rowOff>62752</xdr:rowOff>
    </xdr:from>
    <xdr:to>
      <xdr:col>18</xdr:col>
      <xdr:colOff>851647</xdr:colOff>
      <xdr:row>148</xdr:row>
      <xdr:rowOff>62752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143435</xdr:colOff>
      <xdr:row>127</xdr:row>
      <xdr:rowOff>44822</xdr:rowOff>
    </xdr:from>
    <xdr:to>
      <xdr:col>40</xdr:col>
      <xdr:colOff>367553</xdr:colOff>
      <xdr:row>153</xdr:row>
      <xdr:rowOff>125505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168116</xdr:colOff>
      <xdr:row>3</xdr:row>
      <xdr:rowOff>7620</xdr:rowOff>
    </xdr:from>
    <xdr:to>
      <xdr:col>13</xdr:col>
      <xdr:colOff>129431</xdr:colOff>
      <xdr:row>10</xdr:row>
      <xdr:rowOff>205740</xdr:rowOff>
    </xdr:to>
    <xdr:pic>
      <xdr:nvPicPr>
        <xdr:cNvPr id="3" name="Picture 2" descr="lpnoselogo_pag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761696" y="609600"/>
          <a:ext cx="2399715" cy="2491740"/>
        </a:xfrm>
        <a:prstGeom prst="rect">
          <a:avLst/>
        </a:prstGeom>
      </xdr:spPr>
    </xdr:pic>
    <xdr:clientData/>
  </xdr:twoCellAnchor>
  <xdr:twoCellAnchor>
    <xdr:from>
      <xdr:col>5</xdr:col>
      <xdr:colOff>15240</xdr:colOff>
      <xdr:row>3</xdr:row>
      <xdr:rowOff>312420</xdr:rowOff>
    </xdr:from>
    <xdr:to>
      <xdr:col>5</xdr:col>
      <xdr:colOff>1242060</xdr:colOff>
      <xdr:row>17</xdr:row>
      <xdr:rowOff>297180</xdr:rowOff>
    </xdr:to>
    <xdr:cxnSp macro="">
      <xdr:nvCxnSpPr>
        <xdr:cNvPr id="5" name="Straight Connector 4"/>
        <xdr:cNvCxnSpPr/>
      </xdr:nvCxnSpPr>
      <xdr:spPr>
        <a:xfrm flipV="1">
          <a:off x="5631180" y="914400"/>
          <a:ext cx="1226820" cy="4572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224674</xdr:colOff>
      <xdr:row>8</xdr:row>
      <xdr:rowOff>11998</xdr:rowOff>
    </xdr:from>
    <xdr:ext cx="482889" cy="1283685"/>
    <xdr:sp macro="" textlink="">
      <xdr:nvSpPr>
        <xdr:cNvPr id="7" name="TextBox 6"/>
        <xdr:cNvSpPr txBox="1"/>
      </xdr:nvSpPr>
      <xdr:spPr>
        <a:xfrm rot="17143596">
          <a:off x="5440216" y="2652676"/>
          <a:ext cx="1283685" cy="4828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th-TH" sz="2400"/>
            <a:t>เว้น</a:t>
          </a:r>
          <a:r>
            <a:rPr lang="th-TH" sz="2400" baseline="0"/>
            <a:t> </a:t>
          </a:r>
          <a:r>
            <a:rPr lang="en-US" sz="2400" baseline="0"/>
            <a:t>1 </a:t>
          </a:r>
          <a:r>
            <a:rPr lang="th-TH" sz="2400" baseline="0"/>
            <a:t>วัน</a:t>
          </a:r>
          <a:endParaRPr lang="en-US" sz="24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rapong" refreshedDate="44500.911365162036" createdVersion="3" refreshedVersion="3" minRefreshableVersion="3" recordCount="30">
  <cacheSource type="worksheet">
    <worksheetSource ref="A1:H1048576" sheet="googlesheet"/>
  </cacheSource>
  <cacheFields count="8">
    <cacheField name="ประทับเวลา" numFmtId="0">
      <sharedItems containsBlank="1"/>
    </cacheField>
    <cacheField name="ชื่อ - นามสกุล" numFmtId="0">
      <sharedItems containsBlank="1" count="29">
        <s v="บุปผา เหลืองสอาดกุล"/>
        <s v="ยุภา เจริญชัย"/>
        <s v="สำเริง หรั่งนางรอง"/>
        <s v="พงศ์พิจิตร อุตมโภไคย"/>
        <s v="สานิตย์ แก้วทิพย์"/>
        <s v="นางสุภาพ ตะยะพงค์"/>
        <s v="นางสาวศรีพรรณ หมื่นปัญญา"/>
        <s v="นางกิติชา ปาลีย์กุย"/>
        <s v="นายฐานภัส พุ่มพวง"/>
        <s v="นางนัทมน หอมชื่น"/>
        <s v="นภัสร์ นันตาบุตร"/>
        <s v="พีระพงษ์ มูลน้อย"/>
        <s v="ลักขณาด้วงทอง"/>
        <s v="วิรัต กิติกิจ"/>
        <s v="พีระพงษ์ มูลน้อย 2"/>
        <s v="สุรัตน์ รุกขรัตน์"/>
        <s v="นายธีรวัตร ปุ๊ดภาษี"/>
        <s v="นายสุบิน  แสนแปง"/>
        <s v="นางรัตนา เรือนอินทร์"/>
        <s v="รัตนา เรือนอินทร์"/>
        <s v="นายณรงค์กรณ์ คำแปง"/>
        <s v="จุฑามาศ ไชยชาติ"/>
        <s v="นางเตือนจิตร ศรีสวัสดิ์เพ็ญ"/>
        <s v="สันติ"/>
        <s v="สว่าง คำไทย"/>
        <s v="นายเสวย คำไทย"/>
        <s v="เรืองชัย สิงห์หล้า"/>
        <s v="วิชิต  จอมทัน"/>
        <m/>
      </sharedItems>
    </cacheField>
    <cacheField name="เบอร์โทร" numFmtId="0">
      <sharedItems containsString="0" containsBlank="1" containsNumber="1" containsInteger="1" minValue="633432219" maxValue="8296876624"/>
    </cacheField>
    <cacheField name="รายการพืชผักที่สนใจ ปลูก หรือมีการเพาะปลูกแล้ว" numFmtId="0">
      <sharedItems containsBlank="1"/>
    </cacheField>
    <cacheField name="พืชผักอื่นๆ นอกเหนือจากรายการด้านบน ที่ปลูกแล้ว หรือพร้อมที่จะวางแผนทำการเพาะปลูก" numFmtId="0">
      <sharedItems containsBlank="1"/>
    </cacheField>
    <cacheField name="พื้นที่ ที่สามารถทำการเพาะปลูก (กี่ไร่)" numFmtId="0">
      <sharedItems containsString="0" containsBlank="1" containsNumber="1" minValue="0.25" maxValue="5"/>
    </cacheField>
    <cacheField name="ที่ตั้งแปลง อำเภอ" numFmtId="0">
      <sharedItems containsBlank="1" count="6">
        <s v="อำเภอลี้"/>
        <s v="อำเภอเมืองลำพูน"/>
        <s v="อำเภอบ้านโฮ่ง"/>
        <s v="อำเภอเวียงหนองล่อง"/>
        <s v="อำเภอแม่ทา"/>
        <m/>
      </sharedItems>
    </cacheField>
    <cacheField name="เดือนที่คาดว่าจะสามารถปลูกได้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22/10/2021, 10:15:21"/>
    <x v="0"/>
    <n v="891911831"/>
    <s v="ตะไคร้"/>
    <m/>
    <n v="2"/>
    <x v="0"/>
    <s v="พ.ย"/>
  </r>
  <r>
    <s v="22/10/2021, 12:35:17"/>
    <x v="1"/>
    <n v="882508074"/>
    <s v="ใบเตย"/>
    <m/>
    <n v="1"/>
    <x v="1"/>
    <s v="พย.64"/>
  </r>
  <r>
    <s v="22/10/2021, 13:00:34"/>
    <x v="2"/>
    <n v="815776962"/>
    <s v="ขึ้นฉ่าย, ต้นหอม, ผักกาดหอม, กรีนโอ๊ค, เร็ดโอ๊ค, กรีนคอส"/>
    <m/>
    <n v="1"/>
    <x v="2"/>
    <s v="พ.ย./2564"/>
  </r>
  <r>
    <s v="22/10/2021, 13:08:24"/>
    <x v="3"/>
    <n v="841778966"/>
    <s v="ใบกระเพรา, ใบโหระพา, กรีนโอ๊ค, เร็ดโอ๊ค, กรีนคอส"/>
    <m/>
    <n v="2"/>
    <x v="1"/>
    <s v="พ.ย"/>
  </r>
  <r>
    <s v="22/10/2021, 13:29:35"/>
    <x v="4"/>
    <n v="867305101"/>
    <s v="ใบกระเพรา, ใบโหระพา"/>
    <s v="กระเจี๊ยบเขียว"/>
    <n v="1"/>
    <x v="2"/>
    <s v="15/11/64"/>
  </r>
  <r>
    <s v="22/10/2021, 14:01:19"/>
    <x v="5"/>
    <n v="931312764"/>
    <s v="ผักชี, ใบกระเพรา, ตะไคร้, มะเขือเปราะ, ใบมะกูด, มะนาว"/>
    <s v="ชะอม,ตำลึง,ไชยา"/>
    <n v="0.5"/>
    <x v="0"/>
    <s v="พฤศจิกายน-ธันวาคม"/>
  </r>
  <r>
    <s v="22/10/2021, 14:13:00"/>
    <x v="6"/>
    <n v="867317442"/>
    <s v="ต้นหอม, ผักชี, ใบกระเพรา, ใบโหระพา, ตะไคร้, ถั่วฝักยาว, มะเขือเปราะ, กระเจี๊ยบเขียว, ผักกาดหอม, มะนาว, กรีนโอ๊ค, กรีนคอส"/>
    <s v="ปลูกแล้ว-ไชยยา,ชะอม,ยอดเสี้ยว,"/>
    <n v="3"/>
    <x v="0"/>
    <s v="บางอย่างปลูกแล้วเช่นตะไคร้,ถั่วฝักยาว,มะนาว ที่คาดว่าจะปลูกได้เดือนธันวาคม"/>
  </r>
  <r>
    <s v="22/10/2021, 14:54:07"/>
    <x v="7"/>
    <n v="884025859"/>
    <s v="ต้นหอม, ผักชี, มะเขือเปราะ, ใบมะกูด, ผักกาดหอม, ใบเตย"/>
    <s v="ปลูกแล้ว ชะอม มะกรูด ใบเตยกำลังจะปลูกมีต้นหอม1งาน,ผักชี1งาน สลัด เจ้าพระยาเพาะกล้าแล้ว "/>
    <n v="1"/>
    <x v="0"/>
    <s v="พฤศจิกายน-ธ้นวาคม"/>
  </r>
  <r>
    <s v="22/10/2021, 14:57:55"/>
    <x v="8"/>
    <n v="831091913"/>
    <s v="ต้นหอม, ถั่วฝักยาว"/>
    <s v="มะเขือเทศ"/>
    <n v="0.25"/>
    <x v="0"/>
    <s v="มกราคม"/>
  </r>
  <r>
    <s v="22/10/2021, 15:26:44"/>
    <x v="9"/>
    <n v="930323178"/>
    <s v="ต้นหอม, ผักกวางตุ้ง, ผักชี, ตะไคร้, ใบมะกูด"/>
    <s v="ชีฝรั่ง"/>
    <n v="0.75"/>
    <x v="0"/>
    <s v="พฤศจิกายน-ธันวาคม"/>
  </r>
  <r>
    <s v="22/10/2021, 17:05:20"/>
    <x v="10"/>
    <n v="891581104"/>
    <s v="ใบกระเพรา, ใบโหระพา, ตะไคร้, กระเจี๊ยบเขียว, ใบมะกูด"/>
    <m/>
    <n v="0.5"/>
    <x v="2"/>
    <s v="ธค"/>
  </r>
  <r>
    <s v="22/10/2021, 22:06:13"/>
    <x v="11"/>
    <n v="823293693"/>
    <s v="ตะไคร้"/>
    <m/>
    <n v="0.5"/>
    <x v="3"/>
    <s v="ปลูกแล้ว"/>
  </r>
  <r>
    <s v="23/10/2021, 6:42:10"/>
    <x v="12"/>
    <n v="633432219"/>
    <s v="ต้นหอม, ผักบุ้ง, ผักชี, มะเขือเปราะ"/>
    <m/>
    <n v="1"/>
    <x v="0"/>
    <s v="พฤศจิกายน"/>
  </r>
  <r>
    <s v="23/10/2021, 11:43:34"/>
    <x v="13"/>
    <n v="909716594"/>
    <s v="ขึ้นฉ่าย"/>
    <m/>
    <n v="2.5"/>
    <x v="2"/>
    <m/>
  </r>
  <r>
    <s v="23/10/2021, 16:44:39"/>
    <x v="14"/>
    <n v="823293693"/>
    <s v="ผักบุ้ง"/>
    <m/>
    <n v="2"/>
    <x v="3"/>
    <s v="พ.ย. 2564"/>
  </r>
  <r>
    <s v="25/10/2021, 9:39:27"/>
    <x v="15"/>
    <n v="841540992"/>
    <s v="ใบกระเพรา, ใบโหระพา, ตะไคร้, ถั่วฝักยาว, มะเขือเปราะ, กระเจี๊ยบเขียว, ใบมะกูด, ใบเตย, มะนาว"/>
    <s v="ขมิ้น 0.25ไร่ ไพล0.25ไร่ "/>
    <n v="2"/>
    <x v="0"/>
    <s v="พญ/2564"/>
  </r>
  <r>
    <s v="25/10/2021, 9:40:50"/>
    <x v="16"/>
    <n v="811641343"/>
    <s v="ต้นหอม, ตะไคร้, กระเจี๊ยบเขียว"/>
    <m/>
    <n v="2"/>
    <x v="0"/>
    <s v="ปลายเดือนพฤศจิกายน"/>
  </r>
  <r>
    <s v="25/10/2021, 12:16:46"/>
    <x v="17"/>
    <n v="953606190"/>
    <s v="ผักบุ้ง, ผักกวางตุ้ง, ผักชี, ใบกระเพรา, ตะไคร้, ถั่วฝักยาว, มะเขือเปราะ, มะนาว, กรีนโอ๊ค, เร็ดโอ๊ค"/>
    <s v="แตงกวาหญี่ปุ่น จำนวน1งาน 0.25ไร่"/>
    <n v="1"/>
    <x v="0"/>
    <s v="พศจิกายน 2564"/>
  </r>
  <r>
    <s v="25/10/2021, 12:26:44"/>
    <x v="18"/>
    <n v="922509860"/>
    <s v="ใบมะกูด, ใบเตย, มะนาว"/>
    <s v="จิงจูฉ่าย"/>
    <n v="5"/>
    <x v="0"/>
    <s v="ธันวาคม2564"/>
  </r>
  <r>
    <s v="25/10/2021, 19:16:20"/>
    <x v="19"/>
    <n v="822509760"/>
    <s v="ใบกระเพรา, ใบเตย, มะนาว"/>
    <m/>
    <n v="1"/>
    <x v="0"/>
    <s v="มค 65"/>
  </r>
  <r>
    <s v="26/10/2021, 14:49:40"/>
    <x v="20"/>
    <n v="869186026"/>
    <s v="ตะไคร้, ใบมะกูด, ใบเตย, มะนาว, ผักชี"/>
    <s v="ผักชี 1 งาน ผักบุ้ง 1 งาน โหระพา 1/2 งาน กระพรา 1/2 งาน"/>
    <n v="1"/>
    <x v="0"/>
    <s v="ธ.ค.2564"/>
  </r>
  <r>
    <s v="28/10/2021, 9:36:30"/>
    <x v="21"/>
    <n v="861146303"/>
    <s v="ขึ้นฉ่าย, ตะไคร้, ใบเตย"/>
    <s v="-"/>
    <n v="0.5"/>
    <x v="4"/>
    <s v="พ.ย.2564"/>
  </r>
  <r>
    <s v="28/10/2021, 11:29:00"/>
    <x v="22"/>
    <n v="8296876624"/>
    <s v="ขึ้นฉ่าย, ต้นหอม, ผักบุ้ง, ผักชี, ใบกระเพรา, ใบโหระพา, ตะไคร้, ถั่วฝักยาว, มะเขือเปราะ, กระเจี๊ยบเขียว, ใบมะกูด, ผักกาดหอม, ใบเตย, มะนาว"/>
    <s v="ผักหวานป่า,ชะอม แตงกวา กระหลำ่ดอกปลูกแล้ว1งาน"/>
    <n v="2"/>
    <x v="0"/>
    <s v="บางอย่างมีแล้วและบางอย่างเริ่มปลูกพฤศจิกายน"/>
  </r>
  <r>
    <s v="29/10/2021, 21:21:03"/>
    <x v="23"/>
    <n v="637800028"/>
    <s v="ใบกระเพรา, ใบโหระพา, ตะไคร้, กรีนโอ๊ค, เร็ดโอ๊ค, กรีนคอส"/>
    <m/>
    <n v="1"/>
    <x v="2"/>
    <s v="พ.ย/2564"/>
  </r>
  <r>
    <s v="30/10/2021, 9:00:29"/>
    <x v="24"/>
    <n v="828895125"/>
    <s v="ผักบุ้ง, กระเจี๊ยบเขียว"/>
    <s v="-"/>
    <n v="1"/>
    <x v="2"/>
    <s v="พ.ย. /2564"/>
  </r>
  <r>
    <s v="30/10/2021, 10:23:44"/>
    <x v="3"/>
    <n v="841778966"/>
    <s v="ใบกระเพรา, ใบโหระพา, ถั่วฝักยาว, กระเจี๊ยบเขียว, กรีนโอ๊ค, เร็ดโอ๊ค, กรีนคอส"/>
    <m/>
    <n v="2"/>
    <x v="1"/>
    <s v="พ.ย. 2564"/>
  </r>
  <r>
    <s v="30/10/2021, 22:07:13"/>
    <x v="25"/>
    <n v="817653566"/>
    <s v="มะนาว"/>
    <s v="1.กล้วยน้ำว้า 3.5 ไร่  2.ว่านหางจรเข้ 0.75 ไร่"/>
    <n v="3.5"/>
    <x v="2"/>
    <s v="ปลูกแล้ว ต.ค./2564"/>
  </r>
  <r>
    <s v="31/10/2021, 6:39:31"/>
    <x v="26"/>
    <n v="819512177"/>
    <s v="ตะไคร้, ใบมะกูด, มะนาว, กรีนโอ๊ค, กรีนคอส"/>
    <m/>
    <n v="3"/>
    <x v="3"/>
    <s v="ธ.ค./2564 (กรีนโอ๊ค/กรีนคอส) อย่างอื่นปลูกไว้แล้ว "/>
  </r>
  <r>
    <s v="31/10/2021, 18:39:07"/>
    <x v="27"/>
    <n v="818830656"/>
    <s v="ตะไคร้"/>
    <s v="ข่า 20 ต้น"/>
    <n v="0.25"/>
    <x v="2"/>
    <s v="ต.ค.64"/>
  </r>
  <r>
    <m/>
    <x v="28"/>
    <m/>
    <m/>
    <m/>
    <m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25:A55" firstHeaderRow="1" firstDataRow="1" firstDataCol="1"/>
  <pivotFields count="8">
    <pivotField showAll="0"/>
    <pivotField axis="axisRow" showAll="0">
      <items count="30">
        <item x="21"/>
        <item x="10"/>
        <item x="22"/>
        <item x="7"/>
        <item x="9"/>
        <item x="18"/>
        <item x="6"/>
        <item x="5"/>
        <item x="8"/>
        <item x="20"/>
        <item x="16"/>
        <item x="17"/>
        <item x="0"/>
        <item x="3"/>
        <item x="11"/>
        <item x="14"/>
        <item x="1"/>
        <item x="19"/>
        <item x="12"/>
        <item x="13"/>
        <item x="23"/>
        <item x="4"/>
        <item x="2"/>
        <item x="15"/>
        <item x="28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A3:B8" firstHeaderRow="1" firstDataRow="1" firstDataCol="1"/>
  <pivotFields count="8">
    <pivotField showAll="0"/>
    <pivotField showAll="0"/>
    <pivotField showAll="0"/>
    <pivotField showAll="0"/>
    <pivotField showAll="0"/>
    <pivotField dataField="1" showAll="0"/>
    <pivotField axis="axisRow" showAll="0">
      <items count="7">
        <item x="1"/>
        <item x="3"/>
        <item x="2"/>
        <item x="0"/>
        <item h="1" x="5"/>
        <item h="1" x="4"/>
        <item t="default"/>
      </items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พื้นที่ ที่สามารถทำการเพาะปลูก (กี่ไร่)" fld="5" baseField="0" baseItem="0"/>
  </dataFields>
  <chartFormats count="5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port?format=csv&amp;gid=173886995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H30"/>
  <sheetViews>
    <sheetView topLeftCell="B1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B27" sqref="B27"/>
    </sheetView>
  </sheetViews>
  <sheetFormatPr defaultRowHeight="14.4"/>
  <cols>
    <col min="1" max="2" width="15" bestFit="1" customWidth="1"/>
    <col min="3" max="3" width="11" bestFit="1" customWidth="1"/>
    <col min="4" max="8" width="15" bestFit="1" customWidth="1"/>
  </cols>
  <sheetData>
    <row r="1" spans="1:8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</row>
    <row r="2" spans="1:8">
      <c r="A2" t="s">
        <v>48</v>
      </c>
      <c r="B2" t="s">
        <v>49</v>
      </c>
      <c r="C2">
        <v>891911831</v>
      </c>
      <c r="D2" t="s">
        <v>14</v>
      </c>
      <c r="F2">
        <v>2</v>
      </c>
      <c r="G2" t="s">
        <v>50</v>
      </c>
      <c r="H2" t="s">
        <v>51</v>
      </c>
    </row>
    <row r="3" spans="1:8">
      <c r="A3" t="s">
        <v>54</v>
      </c>
      <c r="B3" t="s">
        <v>55</v>
      </c>
      <c r="C3">
        <v>882508074</v>
      </c>
      <c r="D3" t="s">
        <v>20</v>
      </c>
      <c r="F3">
        <v>1</v>
      </c>
      <c r="G3" t="s">
        <v>53</v>
      </c>
      <c r="H3" t="s">
        <v>56</v>
      </c>
    </row>
    <row r="4" spans="1:8">
      <c r="A4" t="s">
        <v>57</v>
      </c>
      <c r="B4" t="s">
        <v>58</v>
      </c>
      <c r="C4">
        <v>815776962</v>
      </c>
      <c r="D4" t="s">
        <v>59</v>
      </c>
      <c r="F4">
        <v>1</v>
      </c>
      <c r="G4" t="s">
        <v>60</v>
      </c>
      <c r="H4" t="s">
        <v>61</v>
      </c>
    </row>
    <row r="5" spans="1:8">
      <c r="A5" t="s">
        <v>62</v>
      </c>
      <c r="B5" t="s">
        <v>52</v>
      </c>
      <c r="C5">
        <v>841778966</v>
      </c>
      <c r="D5" t="s">
        <v>63</v>
      </c>
      <c r="F5">
        <v>2</v>
      </c>
      <c r="G5" t="s">
        <v>53</v>
      </c>
      <c r="H5" t="s">
        <v>51</v>
      </c>
    </row>
    <row r="6" spans="1:8">
      <c r="A6" t="s">
        <v>64</v>
      </c>
      <c r="B6" t="s">
        <v>65</v>
      </c>
      <c r="C6">
        <v>867305101</v>
      </c>
      <c r="D6" t="s">
        <v>66</v>
      </c>
      <c r="E6" t="s">
        <v>17</v>
      </c>
      <c r="F6">
        <v>1</v>
      </c>
      <c r="G6" t="s">
        <v>60</v>
      </c>
      <c r="H6" t="s">
        <v>67</v>
      </c>
    </row>
    <row r="7" spans="1:8">
      <c r="A7" t="s">
        <v>68</v>
      </c>
      <c r="B7" t="s">
        <v>69</v>
      </c>
      <c r="C7">
        <v>931312764</v>
      </c>
      <c r="D7" t="s">
        <v>70</v>
      </c>
      <c r="E7" t="s">
        <v>71</v>
      </c>
      <c r="F7">
        <v>0.5</v>
      </c>
      <c r="G7" t="s">
        <v>50</v>
      </c>
      <c r="H7" t="s">
        <v>72</v>
      </c>
    </row>
    <row r="8" spans="1:8">
      <c r="A8" t="s">
        <v>73</v>
      </c>
      <c r="B8" t="s">
        <v>74</v>
      </c>
      <c r="C8">
        <v>867317442</v>
      </c>
      <c r="D8" t="s">
        <v>75</v>
      </c>
      <c r="E8" t="s">
        <v>76</v>
      </c>
      <c r="F8">
        <v>3</v>
      </c>
      <c r="G8" t="s">
        <v>50</v>
      </c>
      <c r="H8" t="s">
        <v>77</v>
      </c>
    </row>
    <row r="9" spans="1:8">
      <c r="A9" t="s">
        <v>78</v>
      </c>
      <c r="B9" t="s">
        <v>79</v>
      </c>
      <c r="C9">
        <v>884025859</v>
      </c>
      <c r="D9" t="s">
        <v>80</v>
      </c>
      <c r="E9" t="s">
        <v>87</v>
      </c>
      <c r="F9">
        <v>1</v>
      </c>
      <c r="G9" t="s">
        <v>50</v>
      </c>
      <c r="H9" t="s">
        <v>81</v>
      </c>
    </row>
    <row r="10" spans="1:8">
      <c r="A10" t="s">
        <v>82</v>
      </c>
      <c r="B10" t="s">
        <v>83</v>
      </c>
      <c r="C10">
        <v>831091913</v>
      </c>
      <c r="D10" t="s">
        <v>84</v>
      </c>
      <c r="E10" t="s">
        <v>85</v>
      </c>
      <c r="F10">
        <v>0.25</v>
      </c>
      <c r="G10" t="s">
        <v>50</v>
      </c>
      <c r="H10" t="s">
        <v>86</v>
      </c>
    </row>
    <row r="11" spans="1:8">
      <c r="A11" t="s">
        <v>88</v>
      </c>
      <c r="B11" t="s">
        <v>89</v>
      </c>
      <c r="C11">
        <v>930323178</v>
      </c>
      <c r="D11" t="s">
        <v>90</v>
      </c>
      <c r="E11" t="s">
        <v>91</v>
      </c>
      <c r="F11">
        <v>0.75</v>
      </c>
      <c r="G11" t="s">
        <v>50</v>
      </c>
      <c r="H11" t="s">
        <v>72</v>
      </c>
    </row>
    <row r="12" spans="1:8">
      <c r="A12" t="s">
        <v>92</v>
      </c>
      <c r="B12" t="s">
        <v>93</v>
      </c>
      <c r="C12">
        <v>891581104</v>
      </c>
      <c r="D12" t="s">
        <v>94</v>
      </c>
      <c r="F12">
        <v>0.5</v>
      </c>
      <c r="G12" t="s">
        <v>60</v>
      </c>
      <c r="H12" t="s">
        <v>95</v>
      </c>
    </row>
    <row r="13" spans="1:8">
      <c r="A13" t="s">
        <v>99</v>
      </c>
      <c r="B13" t="s">
        <v>100</v>
      </c>
      <c r="C13">
        <v>823293693</v>
      </c>
      <c r="D13" t="s">
        <v>14</v>
      </c>
      <c r="F13">
        <v>0.5</v>
      </c>
      <c r="G13" t="s">
        <v>101</v>
      </c>
      <c r="H13" t="s">
        <v>102</v>
      </c>
    </row>
    <row r="14" spans="1:8">
      <c r="A14" t="s">
        <v>105</v>
      </c>
      <c r="B14" t="s">
        <v>106</v>
      </c>
      <c r="C14">
        <v>633432219</v>
      </c>
      <c r="D14" t="s">
        <v>107</v>
      </c>
      <c r="F14">
        <v>1</v>
      </c>
      <c r="G14" t="s">
        <v>50</v>
      </c>
      <c r="H14" t="s">
        <v>108</v>
      </c>
    </row>
    <row r="15" spans="1:8">
      <c r="A15" t="s">
        <v>111</v>
      </c>
      <c r="B15" t="s">
        <v>112</v>
      </c>
      <c r="C15">
        <v>909716594</v>
      </c>
      <c r="D15" t="s">
        <v>8</v>
      </c>
      <c r="F15">
        <v>2.5</v>
      </c>
      <c r="G15" t="s">
        <v>60</v>
      </c>
    </row>
    <row r="16" spans="1:8">
      <c r="A16" t="s">
        <v>117</v>
      </c>
      <c r="B16" t="s">
        <v>118</v>
      </c>
      <c r="C16">
        <v>823293693</v>
      </c>
      <c r="D16" t="s">
        <v>0</v>
      </c>
      <c r="F16">
        <v>2</v>
      </c>
      <c r="G16" t="s">
        <v>101</v>
      </c>
      <c r="H16" t="s">
        <v>119</v>
      </c>
    </row>
    <row r="17" spans="1:8">
      <c r="A17" t="s">
        <v>121</v>
      </c>
      <c r="B17" t="s">
        <v>122</v>
      </c>
      <c r="C17">
        <v>841540992</v>
      </c>
      <c r="D17" t="s">
        <v>123</v>
      </c>
      <c r="E17" t="s">
        <v>124</v>
      </c>
      <c r="F17">
        <v>2</v>
      </c>
      <c r="G17" t="s">
        <v>50</v>
      </c>
      <c r="H17" t="s">
        <v>125</v>
      </c>
    </row>
    <row r="18" spans="1:8">
      <c r="A18" t="s">
        <v>126</v>
      </c>
      <c r="B18" t="s">
        <v>127</v>
      </c>
      <c r="C18">
        <v>811641343</v>
      </c>
      <c r="D18" t="s">
        <v>128</v>
      </c>
      <c r="F18">
        <v>2</v>
      </c>
      <c r="G18" t="s">
        <v>50</v>
      </c>
      <c r="H18" t="s">
        <v>129</v>
      </c>
    </row>
    <row r="19" spans="1:8">
      <c r="A19" t="s">
        <v>130</v>
      </c>
      <c r="B19" t="s">
        <v>131</v>
      </c>
      <c r="C19">
        <v>953606190</v>
      </c>
      <c r="D19" t="s">
        <v>132</v>
      </c>
      <c r="E19" t="s">
        <v>133</v>
      </c>
      <c r="F19">
        <v>1</v>
      </c>
      <c r="G19" t="s">
        <v>50</v>
      </c>
      <c r="H19" t="s">
        <v>134</v>
      </c>
    </row>
    <row r="20" spans="1:8">
      <c r="A20" t="s">
        <v>135</v>
      </c>
      <c r="B20" t="s">
        <v>136</v>
      </c>
      <c r="C20">
        <v>922509860</v>
      </c>
      <c r="D20" t="s">
        <v>137</v>
      </c>
      <c r="E20" t="s">
        <v>138</v>
      </c>
      <c r="F20">
        <v>5</v>
      </c>
      <c r="G20" t="s">
        <v>50</v>
      </c>
      <c r="H20" t="s">
        <v>139</v>
      </c>
    </row>
    <row r="21" spans="1:8">
      <c r="A21" t="s">
        <v>141</v>
      </c>
      <c r="B21" t="s">
        <v>142</v>
      </c>
      <c r="C21">
        <v>822509760</v>
      </c>
      <c r="D21" t="s">
        <v>143</v>
      </c>
      <c r="F21">
        <v>1</v>
      </c>
      <c r="G21" t="s">
        <v>50</v>
      </c>
      <c r="H21" t="s">
        <v>144</v>
      </c>
    </row>
    <row r="22" spans="1:8">
      <c r="A22" t="s">
        <v>145</v>
      </c>
      <c r="B22" t="s">
        <v>146</v>
      </c>
      <c r="C22">
        <v>869186026</v>
      </c>
      <c r="D22" t="s">
        <v>195</v>
      </c>
      <c r="E22" t="s">
        <v>148</v>
      </c>
      <c r="F22">
        <v>1</v>
      </c>
      <c r="G22" t="s">
        <v>50</v>
      </c>
      <c r="H22" t="s">
        <v>149</v>
      </c>
    </row>
    <row r="23" spans="1:8">
      <c r="A23" t="s">
        <v>150</v>
      </c>
      <c r="B23" t="s">
        <v>151</v>
      </c>
      <c r="C23">
        <v>861146303</v>
      </c>
      <c r="D23" t="s">
        <v>152</v>
      </c>
      <c r="E23" t="s">
        <v>153</v>
      </c>
      <c r="F23">
        <v>0.5</v>
      </c>
      <c r="G23" t="s">
        <v>154</v>
      </c>
      <c r="H23" t="s">
        <v>155</v>
      </c>
    </row>
    <row r="24" spans="1:8">
      <c r="A24" t="s">
        <v>156</v>
      </c>
      <c r="B24" t="s">
        <v>157</v>
      </c>
      <c r="C24">
        <v>8296876624</v>
      </c>
      <c r="D24" t="s">
        <v>158</v>
      </c>
      <c r="E24" t="s">
        <v>159</v>
      </c>
      <c r="F24">
        <v>2</v>
      </c>
      <c r="G24" t="s">
        <v>50</v>
      </c>
      <c r="H24" t="s">
        <v>160</v>
      </c>
    </row>
    <row r="25" spans="1:8">
      <c r="A25" t="s">
        <v>161</v>
      </c>
      <c r="B25" t="s">
        <v>162</v>
      </c>
      <c r="C25">
        <v>637800028</v>
      </c>
      <c r="D25" t="s">
        <v>163</v>
      </c>
      <c r="F25">
        <v>1</v>
      </c>
      <c r="G25" t="s">
        <v>60</v>
      </c>
      <c r="H25" t="s">
        <v>164</v>
      </c>
    </row>
    <row r="26" spans="1:8">
      <c r="A26" t="s">
        <v>176</v>
      </c>
      <c r="B26" t="s">
        <v>177</v>
      </c>
      <c r="C26">
        <v>828895125</v>
      </c>
      <c r="D26" t="s">
        <v>178</v>
      </c>
      <c r="E26" t="s">
        <v>153</v>
      </c>
      <c r="F26">
        <v>1</v>
      </c>
      <c r="G26" t="s">
        <v>60</v>
      </c>
      <c r="H26" t="s">
        <v>179</v>
      </c>
    </row>
    <row r="27" spans="1:8">
      <c r="A27" t="s">
        <v>180</v>
      </c>
      <c r="B27" t="s">
        <v>52</v>
      </c>
      <c r="C27">
        <v>841778966</v>
      </c>
      <c r="D27" t="s">
        <v>181</v>
      </c>
      <c r="F27">
        <v>2</v>
      </c>
      <c r="G27" t="s">
        <v>53</v>
      </c>
      <c r="H27" t="s">
        <v>119</v>
      </c>
    </row>
    <row r="28" spans="1:8">
      <c r="A28" t="s">
        <v>182</v>
      </c>
      <c r="B28" t="s">
        <v>183</v>
      </c>
      <c r="C28">
        <v>817653566</v>
      </c>
      <c r="D28" t="s">
        <v>21</v>
      </c>
      <c r="E28" t="s">
        <v>184</v>
      </c>
      <c r="F28">
        <v>3.5</v>
      </c>
      <c r="G28" t="s">
        <v>60</v>
      </c>
      <c r="H28" t="s">
        <v>185</v>
      </c>
    </row>
    <row r="29" spans="1:8">
      <c r="A29" t="s">
        <v>186</v>
      </c>
      <c r="B29" t="s">
        <v>187</v>
      </c>
      <c r="C29">
        <v>819512177</v>
      </c>
      <c r="D29" t="s">
        <v>188</v>
      </c>
      <c r="F29">
        <v>3</v>
      </c>
      <c r="G29" t="s">
        <v>101</v>
      </c>
      <c r="H29" t="s">
        <v>189</v>
      </c>
    </row>
    <row r="30" spans="1:8">
      <c r="A30" t="s">
        <v>190</v>
      </c>
      <c r="B30" t="s">
        <v>191</v>
      </c>
      <c r="C30">
        <v>818830656</v>
      </c>
      <c r="D30" t="s">
        <v>14</v>
      </c>
      <c r="E30" t="s">
        <v>192</v>
      </c>
      <c r="F30">
        <v>0.25</v>
      </c>
      <c r="G30" t="s">
        <v>60</v>
      </c>
      <c r="H30" t="s">
        <v>193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3:B55"/>
  <sheetViews>
    <sheetView workbookViewId="0">
      <selection activeCell="D33" sqref="D33"/>
    </sheetView>
  </sheetViews>
  <sheetFormatPr defaultRowHeight="14.4"/>
  <cols>
    <col min="1" max="1" width="18.5546875" customWidth="1"/>
    <col min="2" max="2" width="41.33203125" customWidth="1"/>
  </cols>
  <sheetData>
    <row r="3" spans="1:2">
      <c r="A3" s="63" t="s">
        <v>113</v>
      </c>
      <c r="B3" t="s">
        <v>140</v>
      </c>
    </row>
    <row r="4" spans="1:2">
      <c r="A4" s="64" t="s">
        <v>53</v>
      </c>
      <c r="B4" s="65">
        <v>5</v>
      </c>
    </row>
    <row r="5" spans="1:2">
      <c r="A5" s="64" t="s">
        <v>101</v>
      </c>
      <c r="B5" s="65">
        <v>5.5</v>
      </c>
    </row>
    <row r="6" spans="1:2">
      <c r="A6" s="64" t="s">
        <v>60</v>
      </c>
      <c r="B6" s="65">
        <v>10.75</v>
      </c>
    </row>
    <row r="7" spans="1:2">
      <c r="A7" s="64" t="s">
        <v>50</v>
      </c>
      <c r="B7" s="65">
        <v>22.5</v>
      </c>
    </row>
    <row r="8" spans="1:2">
      <c r="A8" s="64" t="s">
        <v>114</v>
      </c>
      <c r="B8" s="65">
        <v>43.75</v>
      </c>
    </row>
    <row r="25" spans="1:1">
      <c r="A25" s="63" t="s">
        <v>113</v>
      </c>
    </row>
    <row r="26" spans="1:1">
      <c r="A26" s="64" t="s">
        <v>151</v>
      </c>
    </row>
    <row r="27" spans="1:1">
      <c r="A27" s="64" t="s">
        <v>93</v>
      </c>
    </row>
    <row r="28" spans="1:1">
      <c r="A28" s="64" t="s">
        <v>157</v>
      </c>
    </row>
    <row r="29" spans="1:1">
      <c r="A29" s="64" t="s">
        <v>79</v>
      </c>
    </row>
    <row r="30" spans="1:1">
      <c r="A30" s="64" t="s">
        <v>89</v>
      </c>
    </row>
    <row r="31" spans="1:1">
      <c r="A31" s="64" t="s">
        <v>136</v>
      </c>
    </row>
    <row r="32" spans="1:1">
      <c r="A32" s="64" t="s">
        <v>74</v>
      </c>
    </row>
    <row r="33" spans="1:1">
      <c r="A33" s="64" t="s">
        <v>69</v>
      </c>
    </row>
    <row r="34" spans="1:1">
      <c r="A34" s="64" t="s">
        <v>83</v>
      </c>
    </row>
    <row r="35" spans="1:1">
      <c r="A35" s="64" t="s">
        <v>146</v>
      </c>
    </row>
    <row r="36" spans="1:1">
      <c r="A36" s="64" t="s">
        <v>127</v>
      </c>
    </row>
    <row r="37" spans="1:1">
      <c r="A37" s="64" t="s">
        <v>131</v>
      </c>
    </row>
    <row r="38" spans="1:1">
      <c r="A38" s="64" t="s">
        <v>49</v>
      </c>
    </row>
    <row r="39" spans="1:1">
      <c r="A39" s="64" t="s">
        <v>52</v>
      </c>
    </row>
    <row r="40" spans="1:1">
      <c r="A40" s="64" t="s">
        <v>100</v>
      </c>
    </row>
    <row r="41" spans="1:1">
      <c r="A41" s="64" t="s">
        <v>118</v>
      </c>
    </row>
    <row r="42" spans="1:1">
      <c r="A42" s="64" t="s">
        <v>55</v>
      </c>
    </row>
    <row r="43" spans="1:1">
      <c r="A43" s="64" t="s">
        <v>142</v>
      </c>
    </row>
    <row r="44" spans="1:1">
      <c r="A44" s="64" t="s">
        <v>106</v>
      </c>
    </row>
    <row r="45" spans="1:1">
      <c r="A45" s="64" t="s">
        <v>112</v>
      </c>
    </row>
    <row r="46" spans="1:1">
      <c r="A46" s="64" t="s">
        <v>162</v>
      </c>
    </row>
    <row r="47" spans="1:1">
      <c r="A47" s="64" t="s">
        <v>65</v>
      </c>
    </row>
    <row r="48" spans="1:1">
      <c r="A48" s="64" t="s">
        <v>58</v>
      </c>
    </row>
    <row r="49" spans="1:1">
      <c r="A49" s="64" t="s">
        <v>122</v>
      </c>
    </row>
    <row r="50" spans="1:1">
      <c r="A50" s="64" t="s">
        <v>172</v>
      </c>
    </row>
    <row r="51" spans="1:1">
      <c r="A51" s="64" t="s">
        <v>177</v>
      </c>
    </row>
    <row r="52" spans="1:1">
      <c r="A52" s="64" t="s">
        <v>183</v>
      </c>
    </row>
    <row r="53" spans="1:1">
      <c r="A53" s="64" t="s">
        <v>187</v>
      </c>
    </row>
    <row r="54" spans="1:1">
      <c r="A54" s="64" t="s">
        <v>191</v>
      </c>
    </row>
    <row r="55" spans="1:1">
      <c r="A55" s="64" t="s">
        <v>114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BY127"/>
  <sheetViews>
    <sheetView showGridLines="0" zoomScaleNormal="100" workbookViewId="0">
      <pane xSplit="19" ySplit="2" topLeftCell="AI3" activePane="bottomRight" state="frozen"/>
      <selection pane="topRight" activeCell="T1" sqref="T1"/>
      <selection pane="bottomLeft" activeCell="A3" sqref="A3"/>
      <selection pane="bottomRight" activeCell="AN7" sqref="AN7"/>
    </sheetView>
  </sheetViews>
  <sheetFormatPr defaultRowHeight="14.4"/>
  <cols>
    <col min="1" max="1" width="1.5546875" customWidth="1"/>
    <col min="2" max="2" width="7.5546875" style="2" bestFit="1" customWidth="1"/>
    <col min="3" max="3" width="12.109375" bestFit="1" customWidth="1"/>
    <col min="4" max="4" width="5.6640625" bestFit="1" customWidth="1"/>
    <col min="5" max="5" width="4" bestFit="1" customWidth="1"/>
    <col min="6" max="6" width="5.5546875" bestFit="1" customWidth="1"/>
    <col min="7" max="7" width="6.109375" bestFit="1" customWidth="1"/>
    <col min="8" max="8" width="4" style="1" bestFit="1" customWidth="1"/>
    <col min="9" max="9" width="7.5546875" style="1" hidden="1" customWidth="1"/>
    <col min="10" max="10" width="4.5546875" style="2" bestFit="1" customWidth="1"/>
    <col min="11" max="11" width="18" style="1" hidden="1" customWidth="1"/>
    <col min="12" max="12" width="17.33203125" style="2" hidden="1" customWidth="1"/>
    <col min="13" max="13" width="24" style="2" hidden="1" customWidth="1"/>
    <col min="14" max="14" width="3.5546875" style="2" customWidth="1"/>
    <col min="15" max="15" width="6.5546875" style="1" customWidth="1"/>
    <col min="16" max="16" width="8.33203125" style="1" customWidth="1"/>
    <col min="17" max="17" width="8.33203125" style="2" customWidth="1"/>
    <col min="18" max="18" width="7.88671875" style="1" customWidth="1"/>
    <col min="19" max="19" width="13.33203125" style="2" bestFit="1" customWidth="1"/>
    <col min="20" max="33" width="5.77734375" bestFit="1" customWidth="1"/>
    <col min="34" max="34" width="5.88671875" bestFit="1" customWidth="1"/>
    <col min="35" max="37" width="5.77734375" bestFit="1" customWidth="1"/>
    <col min="38" max="38" width="5.88671875" bestFit="1" customWidth="1"/>
    <col min="39" max="39" width="5.77734375" bestFit="1" customWidth="1"/>
    <col min="40" max="40" width="5.88671875" bestFit="1" customWidth="1"/>
    <col min="41" max="42" width="5.77734375" bestFit="1" customWidth="1"/>
    <col min="43" max="43" width="5.88671875" bestFit="1" customWidth="1"/>
    <col min="44" max="46" width="5.77734375" bestFit="1" customWidth="1"/>
    <col min="47" max="48" width="5.88671875" bestFit="1" customWidth="1"/>
  </cols>
  <sheetData>
    <row r="1" spans="2:77" s="1" customFormat="1">
      <c r="B1" s="2"/>
      <c r="G1" s="2"/>
      <c r="J1" s="2"/>
      <c r="L1" s="2"/>
      <c r="M1" s="2"/>
      <c r="N1" s="2"/>
      <c r="Q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</row>
    <row r="2" spans="2:77" s="1" customFormat="1" ht="156">
      <c r="B2" s="33" t="s">
        <v>25</v>
      </c>
      <c r="C2" s="33" t="s">
        <v>7</v>
      </c>
      <c r="D2" s="34" t="s">
        <v>2</v>
      </c>
      <c r="E2" s="35" t="s">
        <v>6</v>
      </c>
      <c r="F2" s="35" t="s">
        <v>5</v>
      </c>
      <c r="G2" s="35" t="s">
        <v>96</v>
      </c>
      <c r="H2" s="35" t="s">
        <v>26</v>
      </c>
      <c r="I2" s="35" t="s">
        <v>4</v>
      </c>
      <c r="J2" s="35" t="s">
        <v>27</v>
      </c>
      <c r="K2" s="35" t="s">
        <v>37</v>
      </c>
      <c r="L2" s="35" t="s">
        <v>38</v>
      </c>
      <c r="M2" s="35" t="s">
        <v>39</v>
      </c>
      <c r="N2" s="35" t="s">
        <v>36</v>
      </c>
      <c r="O2" s="35" t="s">
        <v>104</v>
      </c>
      <c r="P2" s="35" t="s">
        <v>98</v>
      </c>
      <c r="Q2" s="35" t="s">
        <v>97</v>
      </c>
      <c r="R2" s="77" t="s">
        <v>3</v>
      </c>
      <c r="S2" s="78" t="s">
        <v>103</v>
      </c>
      <c r="T2" s="24" t="s">
        <v>49</v>
      </c>
      <c r="U2" s="24" t="s">
        <v>55</v>
      </c>
      <c r="V2" s="24" t="s">
        <v>58</v>
      </c>
      <c r="W2" s="24" t="s">
        <v>52</v>
      </c>
      <c r="X2" s="24" t="s">
        <v>65</v>
      </c>
      <c r="Y2" s="24" t="s">
        <v>69</v>
      </c>
      <c r="Z2" s="24" t="s">
        <v>74</v>
      </c>
      <c r="AA2" s="24" t="s">
        <v>79</v>
      </c>
      <c r="AB2" s="24" t="s">
        <v>83</v>
      </c>
      <c r="AC2" s="24" t="s">
        <v>89</v>
      </c>
      <c r="AD2" s="24" t="s">
        <v>93</v>
      </c>
      <c r="AE2" s="24" t="s">
        <v>100</v>
      </c>
      <c r="AF2" s="24" t="s">
        <v>106</v>
      </c>
      <c r="AG2" s="24" t="s">
        <v>112</v>
      </c>
      <c r="AH2" s="24" t="s">
        <v>118</v>
      </c>
      <c r="AI2" s="24" t="s">
        <v>122</v>
      </c>
      <c r="AJ2" s="24" t="s">
        <v>127</v>
      </c>
      <c r="AK2" s="24" t="s">
        <v>131</v>
      </c>
      <c r="AL2" s="24" t="s">
        <v>136</v>
      </c>
      <c r="AM2" s="24" t="s">
        <v>142</v>
      </c>
      <c r="AN2" s="24" t="s">
        <v>146</v>
      </c>
      <c r="AO2" s="24" t="s">
        <v>151</v>
      </c>
      <c r="AP2" s="24" t="s">
        <v>157</v>
      </c>
      <c r="AQ2" s="24" t="s">
        <v>162</v>
      </c>
      <c r="AR2" s="24" t="s">
        <v>177</v>
      </c>
      <c r="AS2" s="24" t="s">
        <v>52</v>
      </c>
      <c r="AT2" s="24" t="s">
        <v>183</v>
      </c>
      <c r="AU2" s="24" t="s">
        <v>187</v>
      </c>
      <c r="AV2" s="24" t="s">
        <v>191</v>
      </c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</row>
    <row r="3" spans="2:77">
      <c r="B3" s="49">
        <v>1</v>
      </c>
      <c r="C3" s="50" t="s">
        <v>8</v>
      </c>
      <c r="D3" s="51">
        <v>750</v>
      </c>
      <c r="E3" s="46">
        <v>500</v>
      </c>
      <c r="F3" s="43">
        <v>0.5</v>
      </c>
      <c r="G3" s="46">
        <v>0.5</v>
      </c>
      <c r="H3" s="46">
        <v>21</v>
      </c>
      <c r="I3" s="46">
        <f t="shared" ref="I3:I20" si="0">INT(H3/7)</f>
        <v>3</v>
      </c>
      <c r="J3" s="46">
        <f t="shared" ref="J3:J20" si="1">K3+L3</f>
        <v>4</v>
      </c>
      <c r="K3" s="46">
        <f>(I3*2)-1</f>
        <v>5</v>
      </c>
      <c r="L3" s="46">
        <f t="shared" ref="L3:L20" si="2">I3-K3+N3</f>
        <v>-1</v>
      </c>
      <c r="M3" s="46">
        <f>K3-I3</f>
        <v>2</v>
      </c>
      <c r="N3" s="46">
        <v>1</v>
      </c>
      <c r="O3" s="41">
        <f>COUNTIF(T3:AAA3,TRUE)</f>
        <v>4</v>
      </c>
      <c r="P3" s="42">
        <f>SUMIF(T3:AAA3,TRUE,$T$102:$AAA$102)</f>
        <v>2.9761904761904758</v>
      </c>
      <c r="Q3" s="45">
        <f>G3*J3</f>
        <v>2</v>
      </c>
      <c r="R3" s="48">
        <f>P3-(G3*J3)</f>
        <v>0.97619047619047583</v>
      </c>
      <c r="S3" s="79">
        <f>P3*D3/J3</f>
        <v>558.03571428571422</v>
      </c>
      <c r="T3" s="25" t="b">
        <f>ISNUMBER(FIND($C3,googlesheet!$D$2))</f>
        <v>0</v>
      </c>
      <c r="U3" s="25" t="b">
        <f>ISNUMBER(FIND($C3,googlesheet!$D$3))</f>
        <v>0</v>
      </c>
      <c r="V3" s="25" t="b">
        <f>ISNUMBER(FIND($C3,googlesheet!$D$4))</f>
        <v>1</v>
      </c>
      <c r="W3" s="25" t="b">
        <f>ISNUMBER(FIND($C3,googlesheet!$D$5))</f>
        <v>0</v>
      </c>
      <c r="X3" s="25" t="b">
        <f>ISNUMBER(FIND($C3,googlesheet!$D$6))</f>
        <v>0</v>
      </c>
      <c r="Y3" s="25" t="b">
        <f>ISNUMBER(FIND($C3,googlesheet!$D$7))</f>
        <v>0</v>
      </c>
      <c r="Z3" s="25" t="b">
        <f>ISNUMBER(FIND($C3,googlesheet!$D$8))</f>
        <v>0</v>
      </c>
      <c r="AA3" s="25" t="b">
        <f>ISNUMBER(FIND($C3,googlesheet!$D$9))</f>
        <v>0</v>
      </c>
      <c r="AB3" s="25" t="b">
        <f>ISNUMBER(FIND($C3,googlesheet!$D$10))</f>
        <v>0</v>
      </c>
      <c r="AC3" s="25" t="b">
        <f>ISNUMBER(FIND($C3,googlesheet!$D$11))</f>
        <v>0</v>
      </c>
      <c r="AD3" s="25" t="b">
        <f>ISNUMBER(FIND($C3,googlesheet!$D$12))</f>
        <v>0</v>
      </c>
      <c r="AE3" s="25" t="b">
        <f>ISNUMBER(FIND($C3,googlesheet!$D$13))</f>
        <v>0</v>
      </c>
      <c r="AF3" s="25" t="b">
        <f>ISNUMBER(FIND($C3,googlesheet!$D$14))</f>
        <v>0</v>
      </c>
      <c r="AG3" s="25" t="b">
        <f>ISNUMBER(FIND($C3,googlesheet!$D$15))</f>
        <v>1</v>
      </c>
      <c r="AH3" s="25" t="b">
        <f>ISNUMBER(FIND($C3,googlesheet!$D$16))</f>
        <v>0</v>
      </c>
      <c r="AI3" s="25" t="b">
        <f>ISNUMBER(FIND($C3,googlesheet!$D$17))</f>
        <v>0</v>
      </c>
      <c r="AJ3" s="25" t="b">
        <f>ISNUMBER(FIND($C3,googlesheet!$D$18))</f>
        <v>0</v>
      </c>
      <c r="AK3" s="25" t="b">
        <f>ISNUMBER(FIND($C3,googlesheet!$D$19))</f>
        <v>0</v>
      </c>
      <c r="AL3" s="25" t="b">
        <f>ISNUMBER(FIND($C3,googlesheet!$D$20))</f>
        <v>0</v>
      </c>
      <c r="AM3" s="25" t="b">
        <f>ISNUMBER(FIND($C3,googlesheet!$D$21))</f>
        <v>0</v>
      </c>
      <c r="AN3" s="25" t="b">
        <f>ISNUMBER(FIND($C3,googlesheet!$D$22))</f>
        <v>0</v>
      </c>
      <c r="AO3" s="25" t="b">
        <f>ISNUMBER(FIND($C3,googlesheet!$D$23))</f>
        <v>1</v>
      </c>
      <c r="AP3" s="25" t="b">
        <f>ISNUMBER(FIND($C3,googlesheet!$D$24))</f>
        <v>1</v>
      </c>
      <c r="AQ3" s="25" t="b">
        <f>ISNUMBER(FIND($C3,googlesheet!$D$25))</f>
        <v>0</v>
      </c>
      <c r="AR3" s="25" t="b">
        <f>ISNUMBER(FIND($C3,googlesheet!$D$26))</f>
        <v>0</v>
      </c>
      <c r="AS3" s="25" t="b">
        <f>ISNUMBER(FIND($C3,googlesheet!$D$27))</f>
        <v>0</v>
      </c>
      <c r="AT3" s="25" t="b">
        <f>ISNUMBER(FIND($C3,googlesheet!$D$28))</f>
        <v>0</v>
      </c>
      <c r="AU3" s="25" t="b">
        <f>ISNUMBER(FIND($C3,googlesheet!$D$29))</f>
        <v>0</v>
      </c>
      <c r="AV3" s="25" t="b">
        <f>ISNUMBER(FIND($C3,googlesheet!$D$31))</f>
        <v>0</v>
      </c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</row>
    <row r="4" spans="2:77">
      <c r="B4" s="30">
        <v>2</v>
      </c>
      <c r="C4" s="31" t="s">
        <v>9</v>
      </c>
      <c r="D4" s="27">
        <v>1849</v>
      </c>
      <c r="E4" s="10">
        <v>500</v>
      </c>
      <c r="F4" s="23">
        <f>E4/D4</f>
        <v>0.27041644131963222</v>
      </c>
      <c r="G4" s="10">
        <v>0.5</v>
      </c>
      <c r="H4" s="10">
        <v>42</v>
      </c>
      <c r="I4" s="10">
        <f t="shared" si="0"/>
        <v>6</v>
      </c>
      <c r="J4" s="10">
        <f t="shared" si="1"/>
        <v>7</v>
      </c>
      <c r="K4" s="10">
        <f t="shared" ref="K4:K20" si="3">(I4*2)-1</f>
        <v>11</v>
      </c>
      <c r="L4" s="10">
        <f t="shared" si="2"/>
        <v>-4</v>
      </c>
      <c r="M4" s="10">
        <f t="shared" ref="M4:M20" si="4">K4-I4</f>
        <v>5</v>
      </c>
      <c r="N4" s="10">
        <v>1</v>
      </c>
      <c r="O4" s="52">
        <f>COUNTIF(T4:AAA4,TRUE)</f>
        <v>8</v>
      </c>
      <c r="P4" s="58">
        <f>SUMIF(T4:AAA4,TRUE,$T$102:$AAA$102)</f>
        <v>1.9178571428571431</v>
      </c>
      <c r="Q4" s="44">
        <f t="shared" ref="Q4:Q20" si="5">G4*J4</f>
        <v>3.5</v>
      </c>
      <c r="R4" s="47">
        <f>P4-(G4*J4)</f>
        <v>-1.5821428571428569</v>
      </c>
      <c r="S4" s="80">
        <f>P4*D4/J4</f>
        <v>506.58826530612254</v>
      </c>
      <c r="T4" s="25" t="b">
        <f>ISNUMBER(FIND($C4,googlesheet!$D$2))</f>
        <v>0</v>
      </c>
      <c r="U4" s="25" t="b">
        <f>ISNUMBER(FIND($C4,googlesheet!$D$3))</f>
        <v>0</v>
      </c>
      <c r="V4" s="25" t="b">
        <f>ISNUMBER(FIND($C4,googlesheet!$D$4))</f>
        <v>1</v>
      </c>
      <c r="W4" s="25" t="b">
        <f>ISNUMBER(FIND($C4,googlesheet!$D$5))</f>
        <v>0</v>
      </c>
      <c r="X4" s="25" t="b">
        <f>ISNUMBER(FIND($C4,googlesheet!$D$6))</f>
        <v>0</v>
      </c>
      <c r="Y4" s="25" t="b">
        <f>ISNUMBER(FIND($C4,googlesheet!$D$7))</f>
        <v>0</v>
      </c>
      <c r="Z4" s="25" t="b">
        <f>ISNUMBER(FIND($C4,googlesheet!$D$8))</f>
        <v>1</v>
      </c>
      <c r="AA4" s="25" t="b">
        <f>ISNUMBER(FIND($C4,googlesheet!$D$9))</f>
        <v>1</v>
      </c>
      <c r="AB4" s="25" t="b">
        <f>ISNUMBER(FIND($C4,googlesheet!$D$10))</f>
        <v>1</v>
      </c>
      <c r="AC4" s="25" t="b">
        <f>ISNUMBER(FIND($C4,googlesheet!$D$11))</f>
        <v>1</v>
      </c>
      <c r="AD4" s="25" t="b">
        <f>ISNUMBER(FIND($C4,googlesheet!$D$12))</f>
        <v>0</v>
      </c>
      <c r="AE4" s="25" t="b">
        <f>ISNUMBER(FIND($C4,googlesheet!$D$13))</f>
        <v>0</v>
      </c>
      <c r="AF4" s="25" t="b">
        <f>ISNUMBER(FIND($C4,googlesheet!$D$14))</f>
        <v>1</v>
      </c>
      <c r="AG4" s="25" t="b">
        <f>ISNUMBER(FIND($C4,googlesheet!$D$15))</f>
        <v>0</v>
      </c>
      <c r="AH4" s="25" t="b">
        <f>ISNUMBER(FIND($C4,googlesheet!$D$16))</f>
        <v>0</v>
      </c>
      <c r="AI4" s="25" t="b">
        <f>ISNUMBER(FIND($C4,googlesheet!$D$17))</f>
        <v>0</v>
      </c>
      <c r="AJ4" s="25" t="b">
        <f>ISNUMBER(FIND($C4,googlesheet!$D$18))</f>
        <v>1</v>
      </c>
      <c r="AK4" s="25" t="b">
        <f>ISNUMBER(FIND($C4,googlesheet!$D$19))</f>
        <v>0</v>
      </c>
      <c r="AL4" s="25" t="b">
        <f>ISNUMBER(FIND($C4,googlesheet!$D$20))</f>
        <v>0</v>
      </c>
      <c r="AM4" s="25" t="b">
        <f>ISNUMBER(FIND($C4,googlesheet!$D$21))</f>
        <v>0</v>
      </c>
      <c r="AN4" s="25" t="b">
        <f>ISNUMBER(FIND($C4,googlesheet!$D$22))</f>
        <v>0</v>
      </c>
      <c r="AO4" s="25" t="b">
        <f>ISNUMBER(FIND($C4,googlesheet!$D$23))</f>
        <v>0</v>
      </c>
      <c r="AP4" s="25" t="b">
        <f>ISNUMBER(FIND($C4,googlesheet!$D$24))</f>
        <v>1</v>
      </c>
      <c r="AQ4" s="25" t="b">
        <f>ISNUMBER(FIND($C4,googlesheet!$D$25))</f>
        <v>0</v>
      </c>
      <c r="AR4" s="25" t="b">
        <f>ISNUMBER(FIND($C4,googlesheet!$D$26))</f>
        <v>0</v>
      </c>
      <c r="AS4" s="25" t="b">
        <f>ISNUMBER(FIND($C4,googlesheet!$D$27))</f>
        <v>0</v>
      </c>
      <c r="AT4" s="25" t="b">
        <f>ISNUMBER(FIND($C4,googlesheet!$D$28))</f>
        <v>0</v>
      </c>
      <c r="AU4" s="25" t="b">
        <f>ISNUMBER(FIND($C4,googlesheet!$D$29))</f>
        <v>0</v>
      </c>
      <c r="AV4" s="25" t="b">
        <f>ISNUMBER(FIND($C4,googlesheet!$D$30))</f>
        <v>0</v>
      </c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</row>
    <row r="5" spans="2:77">
      <c r="B5" s="30">
        <v>3</v>
      </c>
      <c r="C5" s="31" t="s">
        <v>0</v>
      </c>
      <c r="D5" s="26">
        <v>747</v>
      </c>
      <c r="E5" s="10">
        <v>400</v>
      </c>
      <c r="F5" s="22">
        <f>E5/D5</f>
        <v>0.53547523427041499</v>
      </c>
      <c r="G5" s="10">
        <v>0.75</v>
      </c>
      <c r="H5" s="10">
        <v>28</v>
      </c>
      <c r="I5" s="10">
        <f t="shared" si="0"/>
        <v>4</v>
      </c>
      <c r="J5" s="10">
        <f t="shared" si="1"/>
        <v>5</v>
      </c>
      <c r="K5" s="10">
        <f>(I5*2)-1</f>
        <v>7</v>
      </c>
      <c r="L5" s="10">
        <f t="shared" si="2"/>
        <v>-2</v>
      </c>
      <c r="M5" s="10">
        <f t="shared" si="4"/>
        <v>3</v>
      </c>
      <c r="N5" s="10">
        <v>1</v>
      </c>
      <c r="O5" s="52">
        <f t="shared" ref="O5:O20" si="6">COUNTIF(T5:AAA5,TRUE)</f>
        <v>5</v>
      </c>
      <c r="P5" s="58">
        <f t="shared" ref="P5:P19" si="7">SUMIF(T5:AAA5,TRUE,$T$102:$AAA$102)</f>
        <v>3.092857142857143</v>
      </c>
      <c r="Q5" s="44">
        <f t="shared" si="5"/>
        <v>3.75</v>
      </c>
      <c r="R5" s="47">
        <f t="shared" ref="R5:R20" si="8">P5-(G5*J5)</f>
        <v>-0.65714285714285703</v>
      </c>
      <c r="S5" s="80">
        <f t="shared" ref="S5:S19" si="9">P5*D5/J5</f>
        <v>462.07285714285717</v>
      </c>
      <c r="T5" s="25" t="b">
        <f>ISNUMBER(FIND($C5,googlesheet!$D$2))</f>
        <v>0</v>
      </c>
      <c r="U5" s="25" t="b">
        <f>ISNUMBER(FIND($C5,googlesheet!$D$3))</f>
        <v>0</v>
      </c>
      <c r="V5" s="25" t="b">
        <f>ISNUMBER(FIND($C5,googlesheet!$D$4))</f>
        <v>0</v>
      </c>
      <c r="W5" s="25" t="b">
        <f>ISNUMBER(FIND($C5,googlesheet!$D$5))</f>
        <v>0</v>
      </c>
      <c r="X5" s="25" t="b">
        <f>ISNUMBER(FIND($C5,googlesheet!$D$6))</f>
        <v>0</v>
      </c>
      <c r="Y5" s="25" t="b">
        <f>ISNUMBER(FIND($C5,googlesheet!$D$7))</f>
        <v>0</v>
      </c>
      <c r="Z5" s="25" t="b">
        <f>ISNUMBER(FIND($C5,googlesheet!$D$8))</f>
        <v>0</v>
      </c>
      <c r="AA5" s="25" t="b">
        <f>ISNUMBER(FIND($C5,googlesheet!$D$9))</f>
        <v>0</v>
      </c>
      <c r="AB5" s="25" t="b">
        <f>ISNUMBER(FIND($C5,googlesheet!$D$10))</f>
        <v>0</v>
      </c>
      <c r="AC5" s="25" t="b">
        <f>ISNUMBER(FIND($C5,googlesheet!$D$11))</f>
        <v>0</v>
      </c>
      <c r="AD5" s="25" t="b">
        <f>ISNUMBER(FIND($C5,googlesheet!$D$12))</f>
        <v>0</v>
      </c>
      <c r="AE5" s="25" t="b">
        <f>ISNUMBER(FIND($C5,googlesheet!$D$13))</f>
        <v>0</v>
      </c>
      <c r="AF5" s="25" t="b">
        <f>ISNUMBER(FIND($C5,googlesheet!$D$14))</f>
        <v>1</v>
      </c>
      <c r="AG5" s="25" t="b">
        <f>ISNUMBER(FIND($C5,googlesheet!$D$15))</f>
        <v>0</v>
      </c>
      <c r="AH5" s="25" t="b">
        <f>ISNUMBER(FIND($C5,googlesheet!$D$16))</f>
        <v>1</v>
      </c>
      <c r="AI5" s="25" t="b">
        <f>ISNUMBER(FIND($C5,googlesheet!$D$17))</f>
        <v>0</v>
      </c>
      <c r="AJ5" s="25" t="b">
        <f>ISNUMBER(FIND($C5,googlesheet!$D$18))</f>
        <v>0</v>
      </c>
      <c r="AK5" s="25" t="b">
        <f>ISNUMBER(FIND($C5,googlesheet!$D$19))</f>
        <v>1</v>
      </c>
      <c r="AL5" s="25" t="b">
        <f>ISNUMBER(FIND($C5,googlesheet!$D$20))</f>
        <v>0</v>
      </c>
      <c r="AM5" s="25" t="b">
        <f>ISNUMBER(FIND($C5,googlesheet!$D$21))</f>
        <v>0</v>
      </c>
      <c r="AN5" s="25" t="b">
        <f>ISNUMBER(FIND($C5,googlesheet!$D$22))</f>
        <v>0</v>
      </c>
      <c r="AO5" s="25" t="b">
        <f>ISNUMBER(FIND($C5,googlesheet!$D$23))</f>
        <v>0</v>
      </c>
      <c r="AP5" s="25" t="b">
        <f>ISNUMBER(FIND($C5,googlesheet!$D$24))</f>
        <v>1</v>
      </c>
      <c r="AQ5" s="25" t="b">
        <f>ISNUMBER(FIND($C5,googlesheet!$D$25))</f>
        <v>0</v>
      </c>
      <c r="AR5" s="25" t="b">
        <f>ISNUMBER(FIND($C5,googlesheet!$D$26))</f>
        <v>1</v>
      </c>
      <c r="AS5" s="25" t="b">
        <f>ISNUMBER(FIND($C5,googlesheet!$D$27))</f>
        <v>0</v>
      </c>
      <c r="AT5" s="25" t="b">
        <f>ISNUMBER(FIND($C5,googlesheet!$D$28))</f>
        <v>0</v>
      </c>
      <c r="AU5" s="25" t="b">
        <f>ISNUMBER(FIND($C5,googlesheet!$D$29))</f>
        <v>0</v>
      </c>
      <c r="AV5" s="25" t="b">
        <f>ISNUMBER(FIND($C5,googlesheet!$D$30))</f>
        <v>0</v>
      </c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</row>
    <row r="6" spans="2:77">
      <c r="B6" s="30">
        <v>4</v>
      </c>
      <c r="C6" s="31" t="s">
        <v>10</v>
      </c>
      <c r="D6" s="26">
        <v>900</v>
      </c>
      <c r="E6" s="10">
        <v>500</v>
      </c>
      <c r="F6" s="22">
        <f t="shared" ref="F6:F15" si="10">E6/D6</f>
        <v>0.55555555555555558</v>
      </c>
      <c r="G6" s="10">
        <v>0.75</v>
      </c>
      <c r="H6" s="10">
        <v>49</v>
      </c>
      <c r="I6" s="10">
        <f t="shared" si="0"/>
        <v>7</v>
      </c>
      <c r="J6" s="10">
        <f t="shared" si="1"/>
        <v>8</v>
      </c>
      <c r="K6" s="10">
        <f t="shared" si="3"/>
        <v>13</v>
      </c>
      <c r="L6" s="10">
        <f t="shared" si="2"/>
        <v>-5</v>
      </c>
      <c r="M6" s="10">
        <f t="shared" si="4"/>
        <v>6</v>
      </c>
      <c r="N6" s="10">
        <v>1</v>
      </c>
      <c r="O6" s="52">
        <f t="shared" si="6"/>
        <v>2</v>
      </c>
      <c r="P6" s="58">
        <f t="shared" si="7"/>
        <v>0.35</v>
      </c>
      <c r="Q6" s="44">
        <f t="shared" si="5"/>
        <v>6</v>
      </c>
      <c r="R6" s="47">
        <f t="shared" si="8"/>
        <v>-5.65</v>
      </c>
      <c r="S6" s="80">
        <f t="shared" si="9"/>
        <v>39.375</v>
      </c>
      <c r="T6" s="25" t="b">
        <f>ISNUMBER(FIND($C6,googlesheet!$D$2))</f>
        <v>0</v>
      </c>
      <c r="U6" s="25" t="b">
        <f>ISNUMBER(FIND($C6,googlesheet!$D$3))</f>
        <v>0</v>
      </c>
      <c r="V6" s="25" t="b">
        <f>ISNUMBER(FIND($C6,googlesheet!$D$4))</f>
        <v>0</v>
      </c>
      <c r="W6" s="25" t="b">
        <f>ISNUMBER(FIND($C6,googlesheet!$D$5))</f>
        <v>0</v>
      </c>
      <c r="X6" s="25" t="b">
        <f>ISNUMBER(FIND($C6,googlesheet!$D$6))</f>
        <v>0</v>
      </c>
      <c r="Y6" s="25" t="b">
        <f>ISNUMBER(FIND($C6,googlesheet!$D$7))</f>
        <v>0</v>
      </c>
      <c r="Z6" s="25" t="b">
        <f>ISNUMBER(FIND($C6,googlesheet!$D$8))</f>
        <v>0</v>
      </c>
      <c r="AA6" s="25" t="b">
        <f>ISNUMBER(FIND($C6,googlesheet!$D$9))</f>
        <v>0</v>
      </c>
      <c r="AB6" s="25" t="b">
        <f>ISNUMBER(FIND($C6,googlesheet!$D$10))</f>
        <v>0</v>
      </c>
      <c r="AC6" s="25" t="b">
        <f>ISNUMBER(FIND($C6,googlesheet!$D$11))</f>
        <v>1</v>
      </c>
      <c r="AD6" s="25" t="b">
        <f>ISNUMBER(FIND($C6,googlesheet!$D$12))</f>
        <v>0</v>
      </c>
      <c r="AE6" s="25" t="b">
        <f>ISNUMBER(FIND($C6,googlesheet!$D$13))</f>
        <v>0</v>
      </c>
      <c r="AF6" s="25" t="b">
        <f>ISNUMBER(FIND($C6,googlesheet!$D$14))</f>
        <v>0</v>
      </c>
      <c r="AG6" s="25" t="b">
        <f>ISNUMBER(FIND($C6,googlesheet!$D$15))</f>
        <v>0</v>
      </c>
      <c r="AH6" s="25" t="b">
        <f>ISNUMBER(FIND($C6,googlesheet!$D$16))</f>
        <v>0</v>
      </c>
      <c r="AI6" s="25" t="b">
        <f>ISNUMBER(FIND($C6,googlesheet!$D$17))</f>
        <v>0</v>
      </c>
      <c r="AJ6" s="25" t="b">
        <f>ISNUMBER(FIND($C6,googlesheet!$D$18))</f>
        <v>0</v>
      </c>
      <c r="AK6" s="25" t="b">
        <f>ISNUMBER(FIND($C6,googlesheet!$D$19))</f>
        <v>1</v>
      </c>
      <c r="AL6" s="25" t="b">
        <f>ISNUMBER(FIND($C6,googlesheet!$D$20))</f>
        <v>0</v>
      </c>
      <c r="AM6" s="25" t="b">
        <f>ISNUMBER(FIND($C6,googlesheet!$D$21))</f>
        <v>0</v>
      </c>
      <c r="AN6" s="25" t="b">
        <f>ISNUMBER(FIND($C6,googlesheet!$D$22))</f>
        <v>0</v>
      </c>
      <c r="AO6" s="25" t="b">
        <f>ISNUMBER(FIND($C6,googlesheet!$D$23))</f>
        <v>0</v>
      </c>
      <c r="AP6" s="25" t="b">
        <f>ISNUMBER(FIND($C6,googlesheet!$D$24))</f>
        <v>0</v>
      </c>
      <c r="AQ6" s="25" t="b">
        <f>ISNUMBER(FIND($C6,googlesheet!$D$25))</f>
        <v>0</v>
      </c>
      <c r="AR6" s="25" t="b">
        <f>ISNUMBER(FIND($C6,googlesheet!$D$26))</f>
        <v>0</v>
      </c>
      <c r="AS6" s="25" t="b">
        <f>ISNUMBER(FIND($C6,googlesheet!$D$27))</f>
        <v>0</v>
      </c>
      <c r="AT6" s="25" t="b">
        <f>ISNUMBER(FIND($C6,googlesheet!$D$28))</f>
        <v>0</v>
      </c>
      <c r="AU6" s="25" t="b">
        <f>ISNUMBER(FIND($C6,googlesheet!$D$29))</f>
        <v>0</v>
      </c>
      <c r="AV6" s="25" t="b">
        <f>ISNUMBER(FIND($C6,googlesheet!$D$30))</f>
        <v>0</v>
      </c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</row>
    <row r="7" spans="2:77">
      <c r="B7" s="30">
        <v>5</v>
      </c>
      <c r="C7" s="31" t="s">
        <v>11</v>
      </c>
      <c r="D7" s="26">
        <v>946</v>
      </c>
      <c r="E7" s="10">
        <v>500</v>
      </c>
      <c r="F7" s="23">
        <f t="shared" si="10"/>
        <v>0.52854122621564481</v>
      </c>
      <c r="G7" s="10">
        <v>0.75</v>
      </c>
      <c r="H7" s="10">
        <v>42</v>
      </c>
      <c r="I7" s="10">
        <f t="shared" si="0"/>
        <v>6</v>
      </c>
      <c r="J7" s="10">
        <f t="shared" si="1"/>
        <v>7</v>
      </c>
      <c r="K7" s="10">
        <f t="shared" si="3"/>
        <v>11</v>
      </c>
      <c r="L7" s="10">
        <f t="shared" si="2"/>
        <v>-4</v>
      </c>
      <c r="M7" s="10">
        <f t="shared" si="4"/>
        <v>5</v>
      </c>
      <c r="N7" s="10">
        <v>1</v>
      </c>
      <c r="O7" s="52">
        <f t="shared" si="6"/>
        <v>8</v>
      </c>
      <c r="P7" s="58">
        <f t="shared" si="7"/>
        <v>1.4928571428571429</v>
      </c>
      <c r="Q7" s="44">
        <f t="shared" si="5"/>
        <v>5.25</v>
      </c>
      <c r="R7" s="47">
        <f t="shared" si="8"/>
        <v>-3.7571428571428571</v>
      </c>
      <c r="S7" s="80">
        <f t="shared" si="9"/>
        <v>201.74897959183676</v>
      </c>
      <c r="T7" s="25" t="b">
        <f>ISNUMBER(FIND($C7,googlesheet!$D$2))</f>
        <v>0</v>
      </c>
      <c r="U7" s="25" t="b">
        <f>ISNUMBER(FIND($C7,googlesheet!$D$3))</f>
        <v>0</v>
      </c>
      <c r="V7" s="25" t="b">
        <f>ISNUMBER(FIND($C7,googlesheet!$D$4))</f>
        <v>0</v>
      </c>
      <c r="W7" s="25" t="b">
        <f>ISNUMBER(FIND($C7,googlesheet!$D$5))</f>
        <v>0</v>
      </c>
      <c r="X7" s="25" t="b">
        <f>ISNUMBER(FIND($C7,googlesheet!$D$6))</f>
        <v>0</v>
      </c>
      <c r="Y7" s="25" t="b">
        <f>ISNUMBER(FIND($C7,googlesheet!$D$7))</f>
        <v>1</v>
      </c>
      <c r="Z7" s="25" t="b">
        <f>ISNUMBER(FIND($C7,googlesheet!$D$8))</f>
        <v>1</v>
      </c>
      <c r="AA7" s="25" t="b">
        <f>ISNUMBER(FIND($C7,googlesheet!$D$9))</f>
        <v>1</v>
      </c>
      <c r="AB7" s="25" t="b">
        <f>ISNUMBER(FIND($C7,googlesheet!$D$10))</f>
        <v>0</v>
      </c>
      <c r="AC7" s="25" t="b">
        <f>ISNUMBER(FIND($C7,googlesheet!$D$11))</f>
        <v>1</v>
      </c>
      <c r="AD7" s="25" t="b">
        <f>ISNUMBER(FIND($C7,googlesheet!$D$12))</f>
        <v>0</v>
      </c>
      <c r="AE7" s="25" t="b">
        <f>ISNUMBER(FIND($C7,googlesheet!$D$13))</f>
        <v>0</v>
      </c>
      <c r="AF7" s="25" t="b">
        <f>ISNUMBER(FIND($C7,googlesheet!$D$14))</f>
        <v>1</v>
      </c>
      <c r="AG7" s="25" t="b">
        <f>ISNUMBER(FIND($C7,googlesheet!$D$15))</f>
        <v>0</v>
      </c>
      <c r="AH7" s="25" t="b">
        <f>ISNUMBER(FIND($C7,googlesheet!$D$16))</f>
        <v>0</v>
      </c>
      <c r="AI7" s="25" t="b">
        <f>ISNUMBER(FIND($C7,googlesheet!$D$17))</f>
        <v>0</v>
      </c>
      <c r="AJ7" s="25" t="b">
        <f>ISNUMBER(FIND($C7,googlesheet!$D$18))</f>
        <v>0</v>
      </c>
      <c r="AK7" s="25" t="b">
        <f>ISNUMBER(FIND($C7,googlesheet!$D$19))</f>
        <v>1</v>
      </c>
      <c r="AL7" s="25" t="b">
        <f>ISNUMBER(FIND($C7,googlesheet!$D$20))</f>
        <v>0</v>
      </c>
      <c r="AM7" s="25" t="b">
        <f>ISNUMBER(FIND($C7,googlesheet!$D$21))</f>
        <v>0</v>
      </c>
      <c r="AN7" s="25" t="b">
        <f>ISNUMBER(FIND($C7,googlesheet!$D$22))</f>
        <v>1</v>
      </c>
      <c r="AO7" s="25" t="b">
        <f>ISNUMBER(FIND($C7,googlesheet!$D$23))</f>
        <v>0</v>
      </c>
      <c r="AP7" s="25" t="b">
        <f>ISNUMBER(FIND($C7,googlesheet!$D$24))</f>
        <v>1</v>
      </c>
      <c r="AQ7" s="25" t="b">
        <f>ISNUMBER(FIND($C7,googlesheet!$D$25))</f>
        <v>0</v>
      </c>
      <c r="AR7" s="25" t="b">
        <f>ISNUMBER(FIND($C7,googlesheet!$D$26))</f>
        <v>0</v>
      </c>
      <c r="AS7" s="25" t="b">
        <f>ISNUMBER(FIND($C7,googlesheet!$D$27))</f>
        <v>0</v>
      </c>
      <c r="AT7" s="25" t="b">
        <f>ISNUMBER(FIND($C7,googlesheet!$D$28))</f>
        <v>0</v>
      </c>
      <c r="AU7" s="25" t="b">
        <f>ISNUMBER(FIND($C7,googlesheet!$D$29))</f>
        <v>0</v>
      </c>
      <c r="AV7" s="25" t="b">
        <f>ISNUMBER(FIND($C7,googlesheet!$D$30))</f>
        <v>0</v>
      </c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</row>
    <row r="8" spans="2:77">
      <c r="B8" s="32">
        <v>7</v>
      </c>
      <c r="C8" s="25" t="s">
        <v>12</v>
      </c>
      <c r="D8" s="28">
        <v>400</v>
      </c>
      <c r="E8" s="6">
        <v>75</v>
      </c>
      <c r="F8" s="22">
        <f t="shared" si="10"/>
        <v>0.1875</v>
      </c>
      <c r="G8" s="10">
        <v>0.25</v>
      </c>
      <c r="H8" s="10">
        <v>35</v>
      </c>
      <c r="I8" s="10">
        <f t="shared" si="0"/>
        <v>5</v>
      </c>
      <c r="J8" s="10">
        <f t="shared" si="1"/>
        <v>6</v>
      </c>
      <c r="K8" s="10">
        <f t="shared" si="3"/>
        <v>9</v>
      </c>
      <c r="L8" s="10">
        <f t="shared" si="2"/>
        <v>-3</v>
      </c>
      <c r="M8" s="10">
        <f t="shared" si="4"/>
        <v>4</v>
      </c>
      <c r="N8" s="10">
        <v>1</v>
      </c>
      <c r="O8" s="52">
        <f t="shared" si="6"/>
        <v>11</v>
      </c>
      <c r="P8" s="58">
        <f t="shared" si="7"/>
        <v>2.6841269841269835</v>
      </c>
      <c r="Q8" s="44">
        <f t="shared" si="5"/>
        <v>1.5</v>
      </c>
      <c r="R8" s="47">
        <f t="shared" si="8"/>
        <v>1.1841269841269835</v>
      </c>
      <c r="S8" s="80">
        <f t="shared" si="9"/>
        <v>178.94179894179888</v>
      </c>
      <c r="T8" s="25" t="b">
        <f>ISNUMBER(FIND($C8,googlesheet!$D$2))</f>
        <v>0</v>
      </c>
      <c r="U8" s="25" t="b">
        <f>ISNUMBER(FIND($C8,googlesheet!$D$3))</f>
        <v>0</v>
      </c>
      <c r="V8" s="25" t="b">
        <f>ISNUMBER(FIND($C8,googlesheet!$D$4))</f>
        <v>0</v>
      </c>
      <c r="W8" s="25" t="b">
        <f>ISNUMBER(FIND($C8,googlesheet!$D$5))</f>
        <v>1</v>
      </c>
      <c r="X8" s="25" t="b">
        <f>ISNUMBER(FIND($C8,googlesheet!$D$6))</f>
        <v>1</v>
      </c>
      <c r="Y8" s="25" t="b">
        <f>ISNUMBER(FIND($C8,googlesheet!$D$7))</f>
        <v>1</v>
      </c>
      <c r="Z8" s="25" t="b">
        <f>ISNUMBER(FIND($C8,googlesheet!$D$8))</f>
        <v>1</v>
      </c>
      <c r="AA8" s="25" t="b">
        <f>ISNUMBER(FIND($C8,googlesheet!$D$9))</f>
        <v>0</v>
      </c>
      <c r="AB8" s="25" t="b">
        <f>ISNUMBER(FIND($C8,googlesheet!$D$10))</f>
        <v>0</v>
      </c>
      <c r="AC8" s="25" t="b">
        <f>ISNUMBER(FIND($C8,googlesheet!$D$11))</f>
        <v>0</v>
      </c>
      <c r="AD8" s="25" t="b">
        <f>ISNUMBER(FIND($C8,googlesheet!$D$12))</f>
        <v>1</v>
      </c>
      <c r="AE8" s="25" t="b">
        <f>ISNUMBER(FIND($C8,googlesheet!$D$13))</f>
        <v>0</v>
      </c>
      <c r="AF8" s="25" t="b">
        <f>ISNUMBER(FIND($C8,googlesheet!$D$14))</f>
        <v>0</v>
      </c>
      <c r="AG8" s="25" t="b">
        <f>ISNUMBER(FIND($C8,googlesheet!$D$15))</f>
        <v>0</v>
      </c>
      <c r="AH8" s="25" t="b">
        <f>ISNUMBER(FIND($C8,googlesheet!$D$16))</f>
        <v>0</v>
      </c>
      <c r="AI8" s="25" t="b">
        <f>ISNUMBER(FIND($C8,googlesheet!$D$17))</f>
        <v>1</v>
      </c>
      <c r="AJ8" s="25" t="b">
        <f>ISNUMBER(FIND($C8,googlesheet!$D$18))</f>
        <v>0</v>
      </c>
      <c r="AK8" s="25" t="b">
        <f>ISNUMBER(FIND($C8,googlesheet!$D$19))</f>
        <v>1</v>
      </c>
      <c r="AL8" s="25" t="b">
        <f>ISNUMBER(FIND($C8,googlesheet!$D$20))</f>
        <v>0</v>
      </c>
      <c r="AM8" s="25" t="b">
        <f>ISNUMBER(FIND($C8,googlesheet!$D$21))</f>
        <v>1</v>
      </c>
      <c r="AN8" s="25" t="b">
        <f>ISNUMBER(FIND($C8,googlesheet!$D$22))</f>
        <v>0</v>
      </c>
      <c r="AO8" s="25" t="b">
        <f>ISNUMBER(FIND($C8,googlesheet!$D$23))</f>
        <v>0</v>
      </c>
      <c r="AP8" s="25" t="b">
        <f>ISNUMBER(FIND($C8,googlesheet!$D$24))</f>
        <v>1</v>
      </c>
      <c r="AQ8" s="25" t="b">
        <f>ISNUMBER(FIND($C8,googlesheet!$D$25))</f>
        <v>1</v>
      </c>
      <c r="AR8" s="25" t="b">
        <f>ISNUMBER(FIND($C8,googlesheet!$D$26))</f>
        <v>0</v>
      </c>
      <c r="AS8" s="25" t="b">
        <f>ISNUMBER(FIND($C8,googlesheet!$D$27))</f>
        <v>1</v>
      </c>
      <c r="AT8" s="25" t="b">
        <f>ISNUMBER(FIND($C8,googlesheet!$D$28))</f>
        <v>0</v>
      </c>
      <c r="AU8" s="25" t="b">
        <f>ISNUMBER(FIND($C8,googlesheet!$D$29))</f>
        <v>0</v>
      </c>
      <c r="AV8" s="25" t="b">
        <f>ISNUMBER(FIND($C8,googlesheet!$D$30))</f>
        <v>0</v>
      </c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</row>
    <row r="9" spans="2:77">
      <c r="B9" s="32">
        <v>8</v>
      </c>
      <c r="C9" s="25" t="s">
        <v>13</v>
      </c>
      <c r="D9" s="29">
        <v>400</v>
      </c>
      <c r="E9" s="6">
        <v>75</v>
      </c>
      <c r="F9" s="22">
        <f t="shared" si="10"/>
        <v>0.1875</v>
      </c>
      <c r="G9" s="10">
        <v>0.25</v>
      </c>
      <c r="H9" s="10">
        <v>35</v>
      </c>
      <c r="I9" s="10">
        <f t="shared" si="0"/>
        <v>5</v>
      </c>
      <c r="J9" s="10">
        <f t="shared" si="1"/>
        <v>6</v>
      </c>
      <c r="K9" s="10">
        <f t="shared" si="3"/>
        <v>9</v>
      </c>
      <c r="L9" s="10">
        <f t="shared" si="2"/>
        <v>-3</v>
      </c>
      <c r="M9" s="10">
        <f t="shared" si="4"/>
        <v>4</v>
      </c>
      <c r="N9" s="10">
        <v>1</v>
      </c>
      <c r="O9" s="52">
        <f t="shared" si="6"/>
        <v>8</v>
      </c>
      <c r="P9" s="58">
        <f t="shared" si="7"/>
        <v>2.0674603174603172</v>
      </c>
      <c r="Q9" s="44">
        <f t="shared" si="5"/>
        <v>1.5</v>
      </c>
      <c r="R9" s="47">
        <f t="shared" si="8"/>
        <v>0.56746031746031722</v>
      </c>
      <c r="S9" s="80">
        <f t="shared" si="9"/>
        <v>137.83068783068782</v>
      </c>
      <c r="T9" s="25" t="b">
        <f>ISNUMBER(FIND($C9,googlesheet!$D$2))</f>
        <v>0</v>
      </c>
      <c r="U9" s="25" t="b">
        <f>ISNUMBER(FIND($C9,googlesheet!$D$3))</f>
        <v>0</v>
      </c>
      <c r="V9" s="25" t="b">
        <f>ISNUMBER(FIND($C9,googlesheet!$D$4))</f>
        <v>0</v>
      </c>
      <c r="W9" s="25" t="b">
        <f>ISNUMBER(FIND($C9,googlesheet!$D$5))</f>
        <v>1</v>
      </c>
      <c r="X9" s="25" t="b">
        <f>ISNUMBER(FIND($C9,googlesheet!$D$6))</f>
        <v>1</v>
      </c>
      <c r="Y9" s="25" t="b">
        <f>ISNUMBER(FIND($C9,googlesheet!$D$7))</f>
        <v>0</v>
      </c>
      <c r="Z9" s="25" t="b">
        <f>ISNUMBER(FIND($C9,googlesheet!$D$8))</f>
        <v>1</v>
      </c>
      <c r="AA9" s="25" t="b">
        <f>ISNUMBER(FIND($C9,googlesheet!$D$9))</f>
        <v>0</v>
      </c>
      <c r="AB9" s="25" t="b">
        <f>ISNUMBER(FIND($C9,googlesheet!$D$10))</f>
        <v>0</v>
      </c>
      <c r="AC9" s="25" t="b">
        <f>ISNUMBER(FIND($C9,googlesheet!$D$11))</f>
        <v>0</v>
      </c>
      <c r="AD9" s="25" t="b">
        <f>ISNUMBER(FIND($C9,googlesheet!$D$12))</f>
        <v>1</v>
      </c>
      <c r="AE9" s="25" t="b">
        <f>ISNUMBER(FIND($C9,googlesheet!$D$13))</f>
        <v>0</v>
      </c>
      <c r="AF9" s="25" t="b">
        <f>ISNUMBER(FIND($C9,googlesheet!$D$14))</f>
        <v>0</v>
      </c>
      <c r="AG9" s="25" t="b">
        <f>ISNUMBER(FIND($C9,googlesheet!$D$15))</f>
        <v>0</v>
      </c>
      <c r="AH9" s="25" t="b">
        <f>ISNUMBER(FIND($C9,googlesheet!$D$16))</f>
        <v>0</v>
      </c>
      <c r="AI9" s="25" t="b">
        <f>ISNUMBER(FIND($C9,googlesheet!$D$17))</f>
        <v>1</v>
      </c>
      <c r="AJ9" s="25" t="b">
        <f>ISNUMBER(FIND($C9,googlesheet!$D$18))</f>
        <v>0</v>
      </c>
      <c r="AK9" s="25" t="b">
        <f>ISNUMBER(FIND($C9,googlesheet!$D$19))</f>
        <v>0</v>
      </c>
      <c r="AL9" s="25" t="b">
        <f>ISNUMBER(FIND($C9,googlesheet!$D$20))</f>
        <v>0</v>
      </c>
      <c r="AM9" s="25" t="b">
        <f>ISNUMBER(FIND($C9,googlesheet!$D$21))</f>
        <v>0</v>
      </c>
      <c r="AN9" s="25" t="b">
        <f>ISNUMBER(FIND($C9,googlesheet!$D$22))</f>
        <v>0</v>
      </c>
      <c r="AO9" s="25" t="b">
        <f>ISNUMBER(FIND($C9,googlesheet!$D$23))</f>
        <v>0</v>
      </c>
      <c r="AP9" s="25" t="b">
        <f>ISNUMBER(FIND($C9,googlesheet!$D$24))</f>
        <v>1</v>
      </c>
      <c r="AQ9" s="25" t="b">
        <f>ISNUMBER(FIND($C9,googlesheet!$D$25))</f>
        <v>1</v>
      </c>
      <c r="AR9" s="25" t="b">
        <f>ISNUMBER(FIND($C9,googlesheet!$D$26))</f>
        <v>0</v>
      </c>
      <c r="AS9" s="25" t="b">
        <f>ISNUMBER(FIND($C9,googlesheet!$D$27))</f>
        <v>1</v>
      </c>
      <c r="AT9" s="25" t="b">
        <f>ISNUMBER(FIND($C9,googlesheet!$D$28))</f>
        <v>0</v>
      </c>
      <c r="AU9" s="25" t="b">
        <f>ISNUMBER(FIND($C9,googlesheet!$D$29))</f>
        <v>0</v>
      </c>
      <c r="AV9" s="25" t="b">
        <f>ISNUMBER(FIND($C9,googlesheet!$D$30))</f>
        <v>0</v>
      </c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</row>
    <row r="10" spans="2:77">
      <c r="B10" s="32">
        <v>9</v>
      </c>
      <c r="C10" s="25" t="s">
        <v>14</v>
      </c>
      <c r="D10" s="28">
        <v>1291</v>
      </c>
      <c r="E10" s="6">
        <v>500</v>
      </c>
      <c r="F10" s="22">
        <f t="shared" si="10"/>
        <v>0.38729666924864448</v>
      </c>
      <c r="G10" s="10">
        <f>0.5</f>
        <v>0.5</v>
      </c>
      <c r="H10" s="10">
        <v>119</v>
      </c>
      <c r="I10" s="10">
        <f t="shared" si="0"/>
        <v>17</v>
      </c>
      <c r="J10" s="10">
        <f>K10+L10</f>
        <v>18</v>
      </c>
      <c r="K10" s="10">
        <f t="shared" si="3"/>
        <v>33</v>
      </c>
      <c r="L10" s="10">
        <f t="shared" si="2"/>
        <v>-15</v>
      </c>
      <c r="M10" s="10">
        <f t="shared" si="4"/>
        <v>16</v>
      </c>
      <c r="N10" s="10">
        <v>1</v>
      </c>
      <c r="O10" s="52">
        <f t="shared" si="6"/>
        <v>15</v>
      </c>
      <c r="P10" s="58">
        <f t="shared" si="7"/>
        <v>5.7484126984126993</v>
      </c>
      <c r="Q10" s="44">
        <f t="shared" si="5"/>
        <v>9</v>
      </c>
      <c r="R10" s="47">
        <f t="shared" si="8"/>
        <v>-3.2515873015873007</v>
      </c>
      <c r="S10" s="80">
        <f t="shared" si="9"/>
        <v>412.28893298059967</v>
      </c>
      <c r="T10" s="25" t="b">
        <f>ISNUMBER(FIND($C10,googlesheet!$D$2))</f>
        <v>1</v>
      </c>
      <c r="U10" s="25" t="b">
        <f>ISNUMBER(FIND($C10,googlesheet!$D$3))</f>
        <v>0</v>
      </c>
      <c r="V10" s="25" t="b">
        <f>ISNUMBER(FIND($C10,googlesheet!$D$4))</f>
        <v>0</v>
      </c>
      <c r="W10" s="25" t="b">
        <f>ISNUMBER(FIND($C10,googlesheet!$D$5))</f>
        <v>0</v>
      </c>
      <c r="X10" s="25" t="b">
        <f>ISNUMBER(FIND($C10,googlesheet!$D$6))</f>
        <v>0</v>
      </c>
      <c r="Y10" s="25" t="b">
        <f>ISNUMBER(FIND($C10,googlesheet!$D$7))</f>
        <v>1</v>
      </c>
      <c r="Z10" s="25" t="b">
        <f>ISNUMBER(FIND($C10,googlesheet!$D$8))</f>
        <v>1</v>
      </c>
      <c r="AA10" s="25" t="b">
        <f>ISNUMBER(FIND($C10,googlesheet!$D$9))</f>
        <v>0</v>
      </c>
      <c r="AB10" s="25" t="b">
        <f>ISNUMBER(FIND($C10,googlesheet!$D$10))</f>
        <v>0</v>
      </c>
      <c r="AC10" s="25" t="b">
        <f>ISNUMBER(FIND($C10,googlesheet!$D$11))</f>
        <v>1</v>
      </c>
      <c r="AD10" s="25" t="b">
        <f>ISNUMBER(FIND($C10,googlesheet!$D$12))</f>
        <v>1</v>
      </c>
      <c r="AE10" s="25" t="b">
        <f>ISNUMBER(FIND($C10,googlesheet!$D$13))</f>
        <v>1</v>
      </c>
      <c r="AF10" s="25" t="b">
        <f>ISNUMBER(FIND($C10,googlesheet!$D$14))</f>
        <v>0</v>
      </c>
      <c r="AG10" s="25" t="b">
        <f>ISNUMBER(FIND($C10,googlesheet!$D$15))</f>
        <v>0</v>
      </c>
      <c r="AH10" s="25" t="b">
        <f>ISNUMBER(FIND($C10,googlesheet!$D$16))</f>
        <v>0</v>
      </c>
      <c r="AI10" s="25" t="b">
        <f>ISNUMBER(FIND($C10,googlesheet!$D$17))</f>
        <v>1</v>
      </c>
      <c r="AJ10" s="25" t="b">
        <f>ISNUMBER(FIND($C10,googlesheet!$D$18))</f>
        <v>1</v>
      </c>
      <c r="AK10" s="25" t="b">
        <f>ISNUMBER(FIND($C10,googlesheet!$D$19))</f>
        <v>1</v>
      </c>
      <c r="AL10" s="25" t="b">
        <f>ISNUMBER(FIND($C10,googlesheet!$D$20))</f>
        <v>0</v>
      </c>
      <c r="AM10" s="25" t="b">
        <f>ISNUMBER(FIND($C10,googlesheet!$D$21))</f>
        <v>0</v>
      </c>
      <c r="AN10" s="25" t="b">
        <f>ISNUMBER(FIND($C10,googlesheet!$D$22))</f>
        <v>1</v>
      </c>
      <c r="AO10" s="25" t="b">
        <f>ISNUMBER(FIND($C10,googlesheet!$D$23))</f>
        <v>1</v>
      </c>
      <c r="AP10" s="25" t="b">
        <f>ISNUMBER(FIND($C10,googlesheet!$D$24))</f>
        <v>1</v>
      </c>
      <c r="AQ10" s="25" t="b">
        <f>ISNUMBER(FIND($C10,googlesheet!$D$25))</f>
        <v>1</v>
      </c>
      <c r="AR10" s="25" t="b">
        <f>ISNUMBER(FIND($C10,googlesheet!$D$26))</f>
        <v>0</v>
      </c>
      <c r="AS10" s="25" t="b">
        <f>ISNUMBER(FIND($C10,googlesheet!$D$27))</f>
        <v>0</v>
      </c>
      <c r="AT10" s="25" t="b">
        <f>ISNUMBER(FIND($C10,googlesheet!$D$28))</f>
        <v>0</v>
      </c>
      <c r="AU10" s="25" t="b">
        <f>ISNUMBER(FIND($C10,googlesheet!$D$29))</f>
        <v>1</v>
      </c>
      <c r="AV10" s="25" t="b">
        <f>ISNUMBER(FIND($C10,googlesheet!$D$30))</f>
        <v>1</v>
      </c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</row>
    <row r="11" spans="2:77">
      <c r="B11" s="32">
        <v>10</v>
      </c>
      <c r="C11" s="25" t="s">
        <v>15</v>
      </c>
      <c r="D11" s="28">
        <v>2992</v>
      </c>
      <c r="E11" s="6">
        <v>350</v>
      </c>
      <c r="F11" s="22">
        <f t="shared" si="10"/>
        <v>0.11697860962566844</v>
      </c>
      <c r="G11" s="10">
        <f>0.25</f>
        <v>0.25</v>
      </c>
      <c r="H11" s="10">
        <v>45</v>
      </c>
      <c r="I11" s="10">
        <f t="shared" si="0"/>
        <v>6</v>
      </c>
      <c r="J11" s="10">
        <f t="shared" si="1"/>
        <v>7</v>
      </c>
      <c r="K11" s="10">
        <f t="shared" si="3"/>
        <v>11</v>
      </c>
      <c r="L11" s="10">
        <f t="shared" si="2"/>
        <v>-4</v>
      </c>
      <c r="M11" s="10">
        <f t="shared" si="4"/>
        <v>5</v>
      </c>
      <c r="N11" s="10">
        <v>1</v>
      </c>
      <c r="O11" s="52">
        <f t="shared" si="6"/>
        <v>6</v>
      </c>
      <c r="P11" s="58">
        <f t="shared" si="7"/>
        <v>1.2257936507936504</v>
      </c>
      <c r="Q11" s="44">
        <f t="shared" si="5"/>
        <v>1.75</v>
      </c>
      <c r="R11" s="47">
        <f t="shared" si="8"/>
        <v>-0.52420634920634956</v>
      </c>
      <c r="S11" s="80">
        <f t="shared" si="9"/>
        <v>523.93922902494319</v>
      </c>
      <c r="T11" s="25" t="b">
        <f>ISNUMBER(FIND($C11,googlesheet!$D$2))</f>
        <v>0</v>
      </c>
      <c r="U11" s="25" t="b">
        <f>ISNUMBER(FIND($C11,googlesheet!$D$3))</f>
        <v>0</v>
      </c>
      <c r="V11" s="25" t="b">
        <f>ISNUMBER(FIND($C11,googlesheet!$D$4))</f>
        <v>0</v>
      </c>
      <c r="W11" s="25" t="b">
        <f>ISNUMBER(FIND($C11,googlesheet!$D$5))</f>
        <v>0</v>
      </c>
      <c r="X11" s="25" t="b">
        <f>ISNUMBER(FIND($C11,googlesheet!$D$6))</f>
        <v>0</v>
      </c>
      <c r="Y11" s="25" t="b">
        <f>ISNUMBER(FIND($C11,googlesheet!$D$7))</f>
        <v>0</v>
      </c>
      <c r="Z11" s="25" t="b">
        <f>ISNUMBER(FIND($C11,googlesheet!$D$8))</f>
        <v>1</v>
      </c>
      <c r="AA11" s="25" t="b">
        <f>ISNUMBER(FIND($C11,googlesheet!$D$9))</f>
        <v>0</v>
      </c>
      <c r="AB11" s="25" t="b">
        <f>ISNUMBER(FIND($C11,googlesheet!$D$10))</f>
        <v>1</v>
      </c>
      <c r="AC11" s="25" t="b">
        <f>ISNUMBER(FIND($C11,googlesheet!$D$11))</f>
        <v>0</v>
      </c>
      <c r="AD11" s="25" t="b">
        <f>ISNUMBER(FIND($C11,googlesheet!$D$12))</f>
        <v>0</v>
      </c>
      <c r="AE11" s="25" t="b">
        <f>ISNUMBER(FIND($C11,googlesheet!$D$13))</f>
        <v>0</v>
      </c>
      <c r="AF11" s="25" t="b">
        <f>ISNUMBER(FIND($C11,googlesheet!$D$14))</f>
        <v>0</v>
      </c>
      <c r="AG11" s="25" t="b">
        <f>ISNUMBER(FIND($C11,googlesheet!$D$15))</f>
        <v>0</v>
      </c>
      <c r="AH11" s="25" t="b">
        <f>ISNUMBER(FIND($C11,googlesheet!$D$16))</f>
        <v>0</v>
      </c>
      <c r="AI11" s="25" t="b">
        <f>ISNUMBER(FIND($C11,googlesheet!$D$17))</f>
        <v>1</v>
      </c>
      <c r="AJ11" s="25" t="b">
        <f>ISNUMBER(FIND($C11,googlesheet!$D$18))</f>
        <v>0</v>
      </c>
      <c r="AK11" s="25" t="b">
        <f>ISNUMBER(FIND($C11,googlesheet!$D$19))</f>
        <v>1</v>
      </c>
      <c r="AL11" s="25" t="b">
        <f>ISNUMBER(FIND($C11,googlesheet!$D$20))</f>
        <v>0</v>
      </c>
      <c r="AM11" s="25" t="b">
        <f>ISNUMBER(FIND($C11,googlesheet!$D$21))</f>
        <v>0</v>
      </c>
      <c r="AN11" s="25" t="b">
        <f>ISNUMBER(FIND($C11,googlesheet!$D$22))</f>
        <v>0</v>
      </c>
      <c r="AO11" s="25" t="b">
        <f>ISNUMBER(FIND($C11,googlesheet!$D$23))</f>
        <v>0</v>
      </c>
      <c r="AP11" s="25" t="b">
        <f>ISNUMBER(FIND($C11,googlesheet!$D$24))</f>
        <v>1</v>
      </c>
      <c r="AQ11" s="25" t="b">
        <f>ISNUMBER(FIND($C11,googlesheet!$D$25))</f>
        <v>0</v>
      </c>
      <c r="AR11" s="25" t="b">
        <f>ISNUMBER(FIND($C11,googlesheet!$D$26))</f>
        <v>0</v>
      </c>
      <c r="AS11" s="25" t="b">
        <f>ISNUMBER(FIND($C11,googlesheet!$D$27))</f>
        <v>1</v>
      </c>
      <c r="AT11" s="25" t="b">
        <f>ISNUMBER(FIND($C11,googlesheet!$D$28))</f>
        <v>0</v>
      </c>
      <c r="AU11" s="25" t="b">
        <f>ISNUMBER(FIND($C11,googlesheet!$D$29))</f>
        <v>0</v>
      </c>
      <c r="AV11" s="25" t="b">
        <f>ISNUMBER(FIND($C11,googlesheet!$D$30))</f>
        <v>0</v>
      </c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</row>
    <row r="12" spans="2:77">
      <c r="B12" s="32">
        <v>11</v>
      </c>
      <c r="C12" s="25" t="s">
        <v>16</v>
      </c>
      <c r="D12" s="28">
        <v>900</v>
      </c>
      <c r="E12" s="6">
        <v>200</v>
      </c>
      <c r="F12" s="22">
        <f t="shared" si="10"/>
        <v>0.22222222222222221</v>
      </c>
      <c r="G12" s="62">
        <f>F12*1.25</f>
        <v>0.27777777777777779</v>
      </c>
      <c r="H12" s="10">
        <v>49</v>
      </c>
      <c r="I12" s="10">
        <f t="shared" si="0"/>
        <v>7</v>
      </c>
      <c r="J12" s="10">
        <f t="shared" si="1"/>
        <v>8</v>
      </c>
      <c r="K12" s="10">
        <f t="shared" si="3"/>
        <v>13</v>
      </c>
      <c r="L12" s="10">
        <f t="shared" si="2"/>
        <v>-5</v>
      </c>
      <c r="M12" s="10">
        <f t="shared" si="4"/>
        <v>6</v>
      </c>
      <c r="N12" s="10">
        <v>1</v>
      </c>
      <c r="O12" s="52">
        <f t="shared" si="6"/>
        <v>7</v>
      </c>
      <c r="P12" s="58">
        <f t="shared" si="7"/>
        <v>1.3150793650793648</v>
      </c>
      <c r="Q12" s="44">
        <f t="shared" si="5"/>
        <v>2.2222222222222223</v>
      </c>
      <c r="R12" s="47">
        <f t="shared" si="8"/>
        <v>-0.90714285714285747</v>
      </c>
      <c r="S12" s="80">
        <f t="shared" si="9"/>
        <v>147.94642857142856</v>
      </c>
      <c r="T12" s="25" t="b">
        <f>ISNUMBER(FIND($C12,googlesheet!$D$2))</f>
        <v>0</v>
      </c>
      <c r="U12" s="25" t="b">
        <f>ISNUMBER(FIND($C12,googlesheet!$D$3))</f>
        <v>0</v>
      </c>
      <c r="V12" s="25" t="b">
        <f>ISNUMBER(FIND($C12,googlesheet!$D$4))</f>
        <v>0</v>
      </c>
      <c r="W12" s="25" t="b">
        <f>ISNUMBER(FIND($C12,googlesheet!$D$5))</f>
        <v>0</v>
      </c>
      <c r="X12" s="25" t="b">
        <f>ISNUMBER(FIND($C12,googlesheet!$D$6))</f>
        <v>0</v>
      </c>
      <c r="Y12" s="25" t="b">
        <f>ISNUMBER(FIND($C12,googlesheet!$D$7))</f>
        <v>1</v>
      </c>
      <c r="Z12" s="25" t="b">
        <f>ISNUMBER(FIND($C12,googlesheet!$D$8))</f>
        <v>1</v>
      </c>
      <c r="AA12" s="25" t="b">
        <f>ISNUMBER(FIND($C12,googlesheet!$D$9))</f>
        <v>1</v>
      </c>
      <c r="AB12" s="25" t="b">
        <f>ISNUMBER(FIND($C12,googlesheet!$D$10))</f>
        <v>0</v>
      </c>
      <c r="AC12" s="25" t="b">
        <f>ISNUMBER(FIND($C12,googlesheet!$D$11))</f>
        <v>0</v>
      </c>
      <c r="AD12" s="25" t="b">
        <f>ISNUMBER(FIND($C12,googlesheet!$D$12))</f>
        <v>0</v>
      </c>
      <c r="AE12" s="25" t="b">
        <f>ISNUMBER(FIND($C12,googlesheet!$D$13))</f>
        <v>0</v>
      </c>
      <c r="AF12" s="25" t="b">
        <f>ISNUMBER(FIND($C12,googlesheet!$D$14))</f>
        <v>1</v>
      </c>
      <c r="AG12" s="25" t="b">
        <f>ISNUMBER(FIND($C12,googlesheet!$D$15))</f>
        <v>0</v>
      </c>
      <c r="AH12" s="25" t="b">
        <f>ISNUMBER(FIND($C12,googlesheet!$D$16))</f>
        <v>0</v>
      </c>
      <c r="AI12" s="25" t="b">
        <f>ISNUMBER(FIND($C12,googlesheet!$D$17))</f>
        <v>1</v>
      </c>
      <c r="AJ12" s="25" t="b">
        <f>ISNUMBER(FIND($C12,googlesheet!$D$18))</f>
        <v>0</v>
      </c>
      <c r="AK12" s="25" t="b">
        <f>ISNUMBER(FIND($C12,googlesheet!$D$19))</f>
        <v>1</v>
      </c>
      <c r="AL12" s="25" t="b">
        <f>ISNUMBER(FIND($C12,googlesheet!$D$20))</f>
        <v>0</v>
      </c>
      <c r="AM12" s="25" t="b">
        <f>ISNUMBER(FIND($C12,googlesheet!$D$21))</f>
        <v>0</v>
      </c>
      <c r="AN12" s="25" t="b">
        <f>ISNUMBER(FIND($C12,googlesheet!$D$22))</f>
        <v>0</v>
      </c>
      <c r="AO12" s="25" t="b">
        <f>ISNUMBER(FIND($C12,googlesheet!$D$23))</f>
        <v>0</v>
      </c>
      <c r="AP12" s="25" t="b">
        <f>ISNUMBER(FIND($C12,googlesheet!$D$24))</f>
        <v>1</v>
      </c>
      <c r="AQ12" s="25" t="b">
        <f>ISNUMBER(FIND($C12,googlesheet!$D$25))</f>
        <v>0</v>
      </c>
      <c r="AR12" s="25" t="b">
        <f>ISNUMBER(FIND($C12,googlesheet!$D$26))</f>
        <v>0</v>
      </c>
      <c r="AS12" s="25" t="b">
        <f>ISNUMBER(FIND($C12,googlesheet!$D$27))</f>
        <v>0</v>
      </c>
      <c r="AT12" s="25" t="b">
        <f>ISNUMBER(FIND($C12,googlesheet!$D$28))</f>
        <v>0</v>
      </c>
      <c r="AU12" s="25" t="b">
        <f>ISNUMBER(FIND($C12,googlesheet!$D$29))</f>
        <v>0</v>
      </c>
      <c r="AV12" s="25" t="b">
        <f>ISNUMBER(FIND($C12,googlesheet!$D$30))</f>
        <v>0</v>
      </c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</row>
    <row r="13" spans="2:77">
      <c r="B13" s="32">
        <v>12</v>
      </c>
      <c r="C13" s="25" t="s">
        <v>17</v>
      </c>
      <c r="D13" s="28">
        <f>4175/2</f>
        <v>2087.5</v>
      </c>
      <c r="E13" s="6">
        <v>350</v>
      </c>
      <c r="F13" s="22">
        <f t="shared" si="10"/>
        <v>0.16766467065868262</v>
      </c>
      <c r="G13" s="10">
        <v>0.25</v>
      </c>
      <c r="H13" s="10">
        <v>49</v>
      </c>
      <c r="I13" s="10">
        <f t="shared" si="0"/>
        <v>7</v>
      </c>
      <c r="J13" s="10">
        <f t="shared" si="1"/>
        <v>8</v>
      </c>
      <c r="K13" s="10">
        <f t="shared" si="3"/>
        <v>13</v>
      </c>
      <c r="L13" s="10">
        <f t="shared" si="2"/>
        <v>-5</v>
      </c>
      <c r="M13" s="10">
        <f t="shared" si="4"/>
        <v>6</v>
      </c>
      <c r="N13" s="10">
        <v>1</v>
      </c>
      <c r="O13" s="52">
        <f t="shared" si="6"/>
        <v>7</v>
      </c>
      <c r="P13" s="58">
        <f t="shared" si="7"/>
        <v>2.1674603174603173</v>
      </c>
      <c r="Q13" s="44">
        <f t="shared" si="5"/>
        <v>2</v>
      </c>
      <c r="R13" s="47">
        <f t="shared" si="8"/>
        <v>0.16746031746031731</v>
      </c>
      <c r="S13" s="80">
        <f t="shared" si="9"/>
        <v>565.57167658730157</v>
      </c>
      <c r="T13" s="25" t="b">
        <f>ISNUMBER(FIND($C13,googlesheet!$D$2))</f>
        <v>0</v>
      </c>
      <c r="U13" s="25" t="b">
        <f>ISNUMBER(FIND($C13,googlesheet!$D$3))</f>
        <v>0</v>
      </c>
      <c r="V13" s="25" t="b">
        <f>ISNUMBER(FIND($C13,googlesheet!$D$4))</f>
        <v>0</v>
      </c>
      <c r="W13" s="25" t="b">
        <f>ISNUMBER(FIND($C13,googlesheet!$D$5))</f>
        <v>0</v>
      </c>
      <c r="X13" s="25" t="b">
        <f>ISNUMBER(FIND($C13,googlesheet!$D$6))</f>
        <v>0</v>
      </c>
      <c r="Y13" s="25" t="b">
        <f>ISNUMBER(FIND($C13,googlesheet!$D$7))</f>
        <v>0</v>
      </c>
      <c r="Z13" s="25" t="b">
        <f>ISNUMBER(FIND($C13,googlesheet!$D$8))</f>
        <v>1</v>
      </c>
      <c r="AA13" s="25" t="b">
        <f>ISNUMBER(FIND($C13,googlesheet!$D$9))</f>
        <v>0</v>
      </c>
      <c r="AB13" s="25" t="b">
        <f>ISNUMBER(FIND($C13,googlesheet!$D$10))</f>
        <v>0</v>
      </c>
      <c r="AC13" s="25" t="b">
        <f>ISNUMBER(FIND($C13,googlesheet!$D$11))</f>
        <v>0</v>
      </c>
      <c r="AD13" s="25" t="b">
        <f>ISNUMBER(FIND($C13,googlesheet!$D$12))</f>
        <v>1</v>
      </c>
      <c r="AE13" s="25" t="b">
        <f>ISNUMBER(FIND($C13,googlesheet!$D$13))</f>
        <v>0</v>
      </c>
      <c r="AF13" s="25" t="b">
        <f>ISNUMBER(FIND($C13,googlesheet!$D$14))</f>
        <v>0</v>
      </c>
      <c r="AG13" s="25" t="b">
        <f>ISNUMBER(FIND($C13,googlesheet!$D$15))</f>
        <v>0</v>
      </c>
      <c r="AH13" s="25" t="b">
        <f>ISNUMBER(FIND($C13,googlesheet!$D$16))</f>
        <v>0</v>
      </c>
      <c r="AI13" s="25" t="b">
        <f>ISNUMBER(FIND($C13,googlesheet!$D$17))</f>
        <v>1</v>
      </c>
      <c r="AJ13" s="25" t="b">
        <f>ISNUMBER(FIND($C13,googlesheet!$D$18))</f>
        <v>1</v>
      </c>
      <c r="AK13" s="25" t="b">
        <f>ISNUMBER(FIND($C13,googlesheet!$D$19))</f>
        <v>0</v>
      </c>
      <c r="AL13" s="25" t="b">
        <f>ISNUMBER(FIND($C13,googlesheet!$D$20))</f>
        <v>0</v>
      </c>
      <c r="AM13" s="25" t="b">
        <f>ISNUMBER(FIND($C13,googlesheet!$D$21))</f>
        <v>0</v>
      </c>
      <c r="AN13" s="25" t="b">
        <f>ISNUMBER(FIND($C13,googlesheet!$D$22))</f>
        <v>0</v>
      </c>
      <c r="AO13" s="25" t="b">
        <f>ISNUMBER(FIND($C13,googlesheet!$D$23))</f>
        <v>0</v>
      </c>
      <c r="AP13" s="25" t="b">
        <f>ISNUMBER(FIND($C13,googlesheet!$D$24))</f>
        <v>1</v>
      </c>
      <c r="AQ13" s="25" t="b">
        <f>ISNUMBER(FIND($C13,googlesheet!$D$25))</f>
        <v>0</v>
      </c>
      <c r="AR13" s="25" t="b">
        <f>ISNUMBER(FIND($C13,googlesheet!$D$26))</f>
        <v>1</v>
      </c>
      <c r="AS13" s="25" t="b">
        <f>ISNUMBER(FIND($C13,googlesheet!$D$27))</f>
        <v>1</v>
      </c>
      <c r="AT13" s="25" t="b">
        <f>ISNUMBER(FIND($C13,googlesheet!$D$28))</f>
        <v>0</v>
      </c>
      <c r="AU13" s="25" t="b">
        <f>ISNUMBER(FIND($C13,googlesheet!$D$29))</f>
        <v>0</v>
      </c>
      <c r="AV13" s="25" t="b">
        <f>ISNUMBER(FIND($C13,googlesheet!$D$30))</f>
        <v>0</v>
      </c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</row>
    <row r="14" spans="2:77">
      <c r="B14" s="37">
        <v>13</v>
      </c>
      <c r="C14" s="38" t="s">
        <v>18</v>
      </c>
      <c r="D14" s="39"/>
      <c r="E14" s="40">
        <v>35</v>
      </c>
      <c r="F14" s="40"/>
      <c r="G14" s="46">
        <f>F14*1.25</f>
        <v>0</v>
      </c>
      <c r="H14" s="46">
        <v>175</v>
      </c>
      <c r="I14" s="46">
        <f t="shared" si="0"/>
        <v>25</v>
      </c>
      <c r="J14" s="46">
        <f t="shared" si="1"/>
        <v>26</v>
      </c>
      <c r="K14" s="46">
        <f t="shared" si="3"/>
        <v>49</v>
      </c>
      <c r="L14" s="46">
        <f t="shared" si="2"/>
        <v>-23</v>
      </c>
      <c r="M14" s="46">
        <f t="shared" si="4"/>
        <v>24</v>
      </c>
      <c r="N14" s="46">
        <v>1</v>
      </c>
      <c r="O14" s="41">
        <f t="shared" si="6"/>
        <v>9</v>
      </c>
      <c r="P14" s="42">
        <f t="shared" si="7"/>
        <v>3.3817460317460317</v>
      </c>
      <c r="Q14" s="45">
        <f t="shared" si="5"/>
        <v>0</v>
      </c>
      <c r="R14" s="48">
        <f t="shared" si="8"/>
        <v>3.3817460317460317</v>
      </c>
      <c r="S14" s="81">
        <f t="shared" si="9"/>
        <v>0</v>
      </c>
      <c r="T14" s="25" t="b">
        <f>ISNUMBER(FIND($C14,googlesheet!$D$2))</f>
        <v>0</v>
      </c>
      <c r="U14" s="25" t="b">
        <f>ISNUMBER(FIND($C14,googlesheet!$D$3))</f>
        <v>0</v>
      </c>
      <c r="V14" s="25" t="b">
        <f>ISNUMBER(FIND($C14,googlesheet!$D$4))</f>
        <v>0</v>
      </c>
      <c r="W14" s="25" t="b">
        <f>ISNUMBER(FIND($C14,googlesheet!$D$5))</f>
        <v>0</v>
      </c>
      <c r="X14" s="25" t="b">
        <f>ISNUMBER(FIND($C14,googlesheet!$D$6))</f>
        <v>0</v>
      </c>
      <c r="Y14" s="25" t="b">
        <f>ISNUMBER(FIND($C14,googlesheet!$D$7))</f>
        <v>1</v>
      </c>
      <c r="Z14" s="25" t="b">
        <f>ISNUMBER(FIND($C14,googlesheet!$D$8))</f>
        <v>0</v>
      </c>
      <c r="AA14" s="25" t="b">
        <f>ISNUMBER(FIND($C14,googlesheet!$D$9))</f>
        <v>1</v>
      </c>
      <c r="AB14" s="25" t="b">
        <f>ISNUMBER(FIND($C14,googlesheet!$D$10))</f>
        <v>0</v>
      </c>
      <c r="AC14" s="25" t="b">
        <f>ISNUMBER(FIND($C14,googlesheet!$D$11))</f>
        <v>1</v>
      </c>
      <c r="AD14" s="25" t="b">
        <f>ISNUMBER(FIND($C14,googlesheet!$D$12))</f>
        <v>1</v>
      </c>
      <c r="AE14" s="25" t="b">
        <f>ISNUMBER(FIND($C14,googlesheet!$D$13))</f>
        <v>0</v>
      </c>
      <c r="AF14" s="25" t="b">
        <f>ISNUMBER(FIND($C14,googlesheet!$D$14))</f>
        <v>0</v>
      </c>
      <c r="AG14" s="25" t="b">
        <f>ISNUMBER(FIND($C14,googlesheet!$D$15))</f>
        <v>0</v>
      </c>
      <c r="AH14" s="25" t="b">
        <f>ISNUMBER(FIND($C14,googlesheet!$D$16))</f>
        <v>0</v>
      </c>
      <c r="AI14" s="25" t="b">
        <f>ISNUMBER(FIND($C14,googlesheet!$D$17))</f>
        <v>1</v>
      </c>
      <c r="AJ14" s="25" t="b">
        <f>ISNUMBER(FIND($C14,googlesheet!$D$18))</f>
        <v>0</v>
      </c>
      <c r="AK14" s="25" t="b">
        <f>ISNUMBER(FIND($C14,googlesheet!$D$19))</f>
        <v>0</v>
      </c>
      <c r="AL14" s="25" t="b">
        <f>ISNUMBER(FIND($C14,googlesheet!$D$20))</f>
        <v>1</v>
      </c>
      <c r="AM14" s="25" t="b">
        <f>ISNUMBER(FIND($C14,googlesheet!$D$21))</f>
        <v>0</v>
      </c>
      <c r="AN14" s="25" t="b">
        <f>ISNUMBER(FIND($C14,googlesheet!$D$22))</f>
        <v>1</v>
      </c>
      <c r="AO14" s="25" t="b">
        <f>ISNUMBER(FIND($C14,googlesheet!$D$23))</f>
        <v>0</v>
      </c>
      <c r="AP14" s="25" t="b">
        <f>ISNUMBER(FIND($C14,googlesheet!$D$24))</f>
        <v>1</v>
      </c>
      <c r="AQ14" s="25" t="b">
        <f>ISNUMBER(FIND($C14,googlesheet!$D$25))</f>
        <v>0</v>
      </c>
      <c r="AR14" s="25" t="b">
        <f>ISNUMBER(FIND($C14,googlesheet!$D$26))</f>
        <v>0</v>
      </c>
      <c r="AS14" s="25" t="b">
        <f>ISNUMBER(FIND($C14,googlesheet!$D$27))</f>
        <v>0</v>
      </c>
      <c r="AT14" s="25" t="b">
        <f>ISNUMBER(FIND($C14,googlesheet!$D$28))</f>
        <v>0</v>
      </c>
      <c r="AU14" s="25" t="b">
        <f>ISNUMBER(FIND($C14,googlesheet!$D$29))</f>
        <v>1</v>
      </c>
      <c r="AV14" s="25" t="b">
        <f>ISNUMBER(FIND($C14,googlesheet!$D$30))</f>
        <v>0</v>
      </c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</row>
    <row r="15" spans="2:77">
      <c r="B15" s="32">
        <v>14</v>
      </c>
      <c r="C15" s="25" t="s">
        <v>19</v>
      </c>
      <c r="D15" s="28">
        <v>1098</v>
      </c>
      <c r="E15" s="6">
        <v>100</v>
      </c>
      <c r="F15" s="22">
        <f t="shared" si="10"/>
        <v>9.107468123861566E-2</v>
      </c>
      <c r="G15" s="10">
        <v>0.25</v>
      </c>
      <c r="H15" s="10">
        <v>70</v>
      </c>
      <c r="I15" s="10">
        <f t="shared" si="0"/>
        <v>10</v>
      </c>
      <c r="J15" s="10">
        <f t="shared" si="1"/>
        <v>11</v>
      </c>
      <c r="K15" s="10">
        <f t="shared" si="3"/>
        <v>19</v>
      </c>
      <c r="L15" s="10">
        <f t="shared" si="2"/>
        <v>-8</v>
      </c>
      <c r="M15" s="10">
        <f t="shared" si="4"/>
        <v>9</v>
      </c>
      <c r="N15" s="10">
        <v>1</v>
      </c>
      <c r="O15" s="52">
        <f t="shared" si="6"/>
        <v>4</v>
      </c>
      <c r="P15" s="58">
        <f t="shared" si="7"/>
        <v>0.72619047619047605</v>
      </c>
      <c r="Q15" s="44">
        <f t="shared" si="5"/>
        <v>2.75</v>
      </c>
      <c r="R15" s="47">
        <f t="shared" si="8"/>
        <v>-2.0238095238095237</v>
      </c>
      <c r="S15" s="80">
        <f t="shared" si="9"/>
        <v>72.487012987012974</v>
      </c>
      <c r="T15" s="25" t="b">
        <f>ISNUMBER(FIND($C15,googlesheet!$D$2))</f>
        <v>0</v>
      </c>
      <c r="U15" s="25" t="b">
        <f>ISNUMBER(FIND($C15,googlesheet!$D$3))</f>
        <v>0</v>
      </c>
      <c r="V15" s="25" t="b">
        <f>ISNUMBER(FIND($C15,googlesheet!$D$4))</f>
        <v>1</v>
      </c>
      <c r="W15" s="25" t="b">
        <f>ISNUMBER(FIND($C15,googlesheet!$D$5))</f>
        <v>0</v>
      </c>
      <c r="X15" s="25" t="b">
        <f>ISNUMBER(FIND($C15,googlesheet!$D$6))</f>
        <v>0</v>
      </c>
      <c r="Y15" s="25" t="b">
        <f>ISNUMBER(FIND($C15,googlesheet!$D$7))</f>
        <v>0</v>
      </c>
      <c r="Z15" s="25" t="b">
        <f>ISNUMBER(FIND($C15,googlesheet!$D$8))</f>
        <v>1</v>
      </c>
      <c r="AA15" s="25" t="b">
        <f>ISNUMBER(FIND($C15,googlesheet!$D$9))</f>
        <v>1</v>
      </c>
      <c r="AB15" s="25" t="b">
        <f>ISNUMBER(FIND($C15,googlesheet!$D$10))</f>
        <v>0</v>
      </c>
      <c r="AC15" s="25" t="b">
        <f>ISNUMBER(FIND($C15,googlesheet!$D$11))</f>
        <v>0</v>
      </c>
      <c r="AD15" s="25" t="b">
        <f>ISNUMBER(FIND($C15,googlesheet!$D$12))</f>
        <v>0</v>
      </c>
      <c r="AE15" s="25" t="b">
        <f>ISNUMBER(FIND($C15,googlesheet!$D$13))</f>
        <v>0</v>
      </c>
      <c r="AF15" s="25" t="b">
        <f>ISNUMBER(FIND($C15,googlesheet!$D$14))</f>
        <v>0</v>
      </c>
      <c r="AG15" s="25" t="b">
        <f>ISNUMBER(FIND($C15,googlesheet!$D$15))</f>
        <v>0</v>
      </c>
      <c r="AH15" s="25" t="b">
        <f>ISNUMBER(FIND($C15,googlesheet!$D$16))</f>
        <v>0</v>
      </c>
      <c r="AI15" s="25" t="b">
        <f>ISNUMBER(FIND($C15,googlesheet!$D$17))</f>
        <v>0</v>
      </c>
      <c r="AJ15" s="25" t="b">
        <f>ISNUMBER(FIND($C15,googlesheet!$D$18))</f>
        <v>0</v>
      </c>
      <c r="AK15" s="25" t="b">
        <f>ISNUMBER(FIND($C15,googlesheet!$D$19))</f>
        <v>0</v>
      </c>
      <c r="AL15" s="25" t="b">
        <f>ISNUMBER(FIND($C15,googlesheet!$D$20))</f>
        <v>0</v>
      </c>
      <c r="AM15" s="25" t="b">
        <f>ISNUMBER(FIND($C15,googlesheet!$D$21))</f>
        <v>0</v>
      </c>
      <c r="AN15" s="25" t="b">
        <f>ISNUMBER(FIND($C15,googlesheet!$D$22))</f>
        <v>0</v>
      </c>
      <c r="AO15" s="25" t="b">
        <f>ISNUMBER(FIND($C15,googlesheet!$D$23))</f>
        <v>0</v>
      </c>
      <c r="AP15" s="25" t="b">
        <f>ISNUMBER(FIND($C15,googlesheet!$D$24))</f>
        <v>1</v>
      </c>
      <c r="AQ15" s="25" t="b">
        <f>ISNUMBER(FIND($C15,googlesheet!$D$25))</f>
        <v>0</v>
      </c>
      <c r="AR15" s="25" t="b">
        <f>ISNUMBER(FIND($C15,googlesheet!$D$26))</f>
        <v>0</v>
      </c>
      <c r="AS15" s="25" t="b">
        <f>ISNUMBER(FIND($C15,googlesheet!$D$27))</f>
        <v>0</v>
      </c>
      <c r="AT15" s="25" t="b">
        <f>ISNUMBER(FIND($C15,googlesheet!$D$28))</f>
        <v>0</v>
      </c>
      <c r="AU15" s="25" t="b">
        <f>ISNUMBER(FIND($C15,googlesheet!$D$29))</f>
        <v>0</v>
      </c>
      <c r="AV15" s="25" t="b">
        <f>ISNUMBER(FIND($C15,googlesheet!$D$30))</f>
        <v>0</v>
      </c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</row>
    <row r="16" spans="2:77">
      <c r="B16" s="53">
        <v>15</v>
      </c>
      <c r="C16" s="54" t="s">
        <v>20</v>
      </c>
      <c r="D16" s="55">
        <v>50</v>
      </c>
      <c r="E16" s="56">
        <v>70</v>
      </c>
      <c r="F16" s="56">
        <f>E16/D16</f>
        <v>1.4</v>
      </c>
      <c r="G16" s="57">
        <f>F16*1.25</f>
        <v>1.75</v>
      </c>
      <c r="H16" s="57">
        <v>7</v>
      </c>
      <c r="I16" s="57">
        <f t="shared" si="0"/>
        <v>1</v>
      </c>
      <c r="J16" s="57">
        <f t="shared" si="1"/>
        <v>1</v>
      </c>
      <c r="K16" s="57">
        <f t="shared" si="3"/>
        <v>1</v>
      </c>
      <c r="L16" s="57">
        <f t="shared" si="2"/>
        <v>0</v>
      </c>
      <c r="M16" s="57">
        <f t="shared" si="4"/>
        <v>0</v>
      </c>
      <c r="N16" s="57">
        <v>0</v>
      </c>
      <c r="O16" s="52">
        <f t="shared" si="6"/>
        <v>8</v>
      </c>
      <c r="P16" s="58">
        <f t="shared" si="7"/>
        <v>3.9484126984126982</v>
      </c>
      <c r="Q16" s="59">
        <f>G16*J16</f>
        <v>1.75</v>
      </c>
      <c r="R16" s="60">
        <f>P16-(G16*J16)</f>
        <v>2.1984126984126982</v>
      </c>
      <c r="S16" s="82">
        <f t="shared" si="9"/>
        <v>197.42063492063491</v>
      </c>
      <c r="T16" s="25" t="b">
        <f>ISNUMBER(FIND($C16,googlesheet!$D$2))</f>
        <v>0</v>
      </c>
      <c r="U16" s="25" t="b">
        <f>ISNUMBER(FIND($C16,googlesheet!$D$3))</f>
        <v>1</v>
      </c>
      <c r="V16" s="25" t="b">
        <f>ISNUMBER(FIND($C16,googlesheet!$D$4))</f>
        <v>0</v>
      </c>
      <c r="W16" s="25" t="b">
        <f>ISNUMBER(FIND($C16,googlesheet!$D$5))</f>
        <v>0</v>
      </c>
      <c r="X16" s="25" t="b">
        <f>ISNUMBER(FIND($C16,googlesheet!$D$6))</f>
        <v>0</v>
      </c>
      <c r="Y16" s="25" t="b">
        <f>ISNUMBER(FIND($C16,googlesheet!$D$7))</f>
        <v>0</v>
      </c>
      <c r="Z16" s="25" t="b">
        <f>ISNUMBER(FIND($C16,googlesheet!$D$8))</f>
        <v>0</v>
      </c>
      <c r="AA16" s="25" t="b">
        <f>ISNUMBER(FIND($C16,googlesheet!$D$9))</f>
        <v>1</v>
      </c>
      <c r="AB16" s="25" t="b">
        <f>ISNUMBER(FIND($C16,googlesheet!$D$10))</f>
        <v>0</v>
      </c>
      <c r="AC16" s="25" t="b">
        <f>ISNUMBER(FIND($C16,googlesheet!$D$11))</f>
        <v>0</v>
      </c>
      <c r="AD16" s="25" t="b">
        <f>ISNUMBER(FIND($C16,googlesheet!$D$12))</f>
        <v>0</v>
      </c>
      <c r="AE16" s="25" t="b">
        <f>ISNUMBER(FIND($C16,googlesheet!$D$13))</f>
        <v>0</v>
      </c>
      <c r="AF16" s="25" t="b">
        <f>ISNUMBER(FIND($C16,googlesheet!$D$14))</f>
        <v>0</v>
      </c>
      <c r="AG16" s="25" t="b">
        <f>ISNUMBER(FIND($C16,googlesheet!$D$15))</f>
        <v>0</v>
      </c>
      <c r="AH16" s="25" t="b">
        <f>ISNUMBER(FIND($C16,googlesheet!$D$16))</f>
        <v>0</v>
      </c>
      <c r="AI16" s="25" t="b">
        <f>ISNUMBER(FIND($C16,googlesheet!$D$17))</f>
        <v>1</v>
      </c>
      <c r="AJ16" s="25" t="b">
        <f>ISNUMBER(FIND($C16,googlesheet!$D$18))</f>
        <v>0</v>
      </c>
      <c r="AK16" s="25" t="b">
        <f>ISNUMBER(FIND($C16,googlesheet!$D$19))</f>
        <v>0</v>
      </c>
      <c r="AL16" s="25" t="b">
        <f>ISNUMBER(FIND($C16,googlesheet!$D$20))</f>
        <v>1</v>
      </c>
      <c r="AM16" s="25" t="b">
        <f>ISNUMBER(FIND($C16,googlesheet!$D$21))</f>
        <v>1</v>
      </c>
      <c r="AN16" s="25" t="b">
        <f>ISNUMBER(FIND($C16,googlesheet!$D$22))</f>
        <v>1</v>
      </c>
      <c r="AO16" s="25" t="b">
        <f>ISNUMBER(FIND($C16,googlesheet!$D$23))</f>
        <v>1</v>
      </c>
      <c r="AP16" s="25" t="b">
        <f>ISNUMBER(FIND($C16,googlesheet!$D$24))</f>
        <v>1</v>
      </c>
      <c r="AQ16" s="25" t="b">
        <f>ISNUMBER(FIND($C16,googlesheet!$D$25))</f>
        <v>0</v>
      </c>
      <c r="AR16" s="25" t="b">
        <f>ISNUMBER(FIND($C16,googlesheet!$D$26))</f>
        <v>0</v>
      </c>
      <c r="AS16" s="25" t="b">
        <f>ISNUMBER(FIND($C16,googlesheet!$D$27))</f>
        <v>0</v>
      </c>
      <c r="AT16" s="25" t="b">
        <f>ISNUMBER(FIND($C16,googlesheet!$D$28))</f>
        <v>0</v>
      </c>
      <c r="AU16" s="25" t="b">
        <f>ISNUMBER(FIND($C16,googlesheet!$D$29))</f>
        <v>0</v>
      </c>
      <c r="AV16" s="25" t="b">
        <f>ISNUMBER(FIND($C16,googlesheet!$D$30))</f>
        <v>0</v>
      </c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</row>
    <row r="17" spans="2:77">
      <c r="B17" s="37">
        <v>16</v>
      </c>
      <c r="C17" s="38" t="s">
        <v>21</v>
      </c>
      <c r="D17" s="39"/>
      <c r="E17" s="40">
        <v>500</v>
      </c>
      <c r="F17" s="40"/>
      <c r="G17" s="46">
        <f t="shared" ref="G17:G20" si="11">F17*1.25</f>
        <v>0</v>
      </c>
      <c r="H17" s="46"/>
      <c r="I17" s="46">
        <f t="shared" si="0"/>
        <v>0</v>
      </c>
      <c r="J17" s="46">
        <f t="shared" si="1"/>
        <v>1</v>
      </c>
      <c r="K17" s="46">
        <f t="shared" si="3"/>
        <v>-1</v>
      </c>
      <c r="L17" s="46">
        <f t="shared" si="2"/>
        <v>2</v>
      </c>
      <c r="M17" s="46">
        <f t="shared" si="4"/>
        <v>-1</v>
      </c>
      <c r="N17" s="46">
        <v>1</v>
      </c>
      <c r="O17" s="41">
        <f t="shared" si="6"/>
        <v>10</v>
      </c>
      <c r="P17" s="42">
        <f t="shared" si="7"/>
        <v>7.2484126984126984</v>
      </c>
      <c r="Q17" s="45">
        <f t="shared" si="5"/>
        <v>0</v>
      </c>
      <c r="R17" s="48">
        <f t="shared" si="8"/>
        <v>7.2484126984126984</v>
      </c>
      <c r="S17" s="81">
        <f t="shared" si="9"/>
        <v>0</v>
      </c>
      <c r="T17" s="25" t="b">
        <f>ISNUMBER(FIND($C17,googlesheet!$D$2))</f>
        <v>0</v>
      </c>
      <c r="U17" s="25" t="b">
        <f>ISNUMBER(FIND($C17,googlesheet!$D$3))</f>
        <v>0</v>
      </c>
      <c r="V17" s="25" t="b">
        <f>ISNUMBER(FIND($C17,googlesheet!$D$4))</f>
        <v>0</v>
      </c>
      <c r="W17" s="25" t="b">
        <f>ISNUMBER(FIND($C17,googlesheet!$D$5))</f>
        <v>0</v>
      </c>
      <c r="X17" s="25" t="b">
        <f>ISNUMBER(FIND($C17,googlesheet!$D$6))</f>
        <v>0</v>
      </c>
      <c r="Y17" s="25" t="b">
        <f>ISNUMBER(FIND($C17,googlesheet!$D$7))</f>
        <v>1</v>
      </c>
      <c r="Z17" s="25" t="b">
        <f>ISNUMBER(FIND($C17,googlesheet!$D$8))</f>
        <v>1</v>
      </c>
      <c r="AA17" s="25" t="b">
        <f>ISNUMBER(FIND($C17,googlesheet!$D$9))</f>
        <v>0</v>
      </c>
      <c r="AB17" s="25" t="b">
        <f>ISNUMBER(FIND($C17,googlesheet!$D$10))</f>
        <v>0</v>
      </c>
      <c r="AC17" s="25" t="b">
        <f>ISNUMBER(FIND($C17,googlesheet!$D$11))</f>
        <v>0</v>
      </c>
      <c r="AD17" s="25" t="b">
        <f>ISNUMBER(FIND($C17,googlesheet!$D$12))</f>
        <v>0</v>
      </c>
      <c r="AE17" s="25" t="b">
        <f>ISNUMBER(FIND($C17,googlesheet!$D$13))</f>
        <v>0</v>
      </c>
      <c r="AF17" s="25" t="b">
        <f>ISNUMBER(FIND($C17,googlesheet!$D$14))</f>
        <v>0</v>
      </c>
      <c r="AG17" s="25" t="b">
        <f>ISNUMBER(FIND($C17,googlesheet!$D$15))</f>
        <v>0</v>
      </c>
      <c r="AH17" s="25" t="b">
        <f>ISNUMBER(FIND($C17,googlesheet!$D$16))</f>
        <v>0</v>
      </c>
      <c r="AI17" s="25" t="b">
        <f>ISNUMBER(FIND($C17,googlesheet!$D$17))</f>
        <v>1</v>
      </c>
      <c r="AJ17" s="25" t="b">
        <f>ISNUMBER(FIND($C17,googlesheet!$D$18))</f>
        <v>0</v>
      </c>
      <c r="AK17" s="25" t="b">
        <f>ISNUMBER(FIND($C17,googlesheet!$D$19))</f>
        <v>1</v>
      </c>
      <c r="AL17" s="25" t="b">
        <f>ISNUMBER(FIND($C17,googlesheet!$D$20))</f>
        <v>1</v>
      </c>
      <c r="AM17" s="25" t="b">
        <f>ISNUMBER(FIND($C17,googlesheet!$D$21))</f>
        <v>1</v>
      </c>
      <c r="AN17" s="25" t="b">
        <f>ISNUMBER(FIND($C17,googlesheet!$D$22))</f>
        <v>1</v>
      </c>
      <c r="AO17" s="25" t="b">
        <f>ISNUMBER(FIND($C17,googlesheet!$D$23))</f>
        <v>0</v>
      </c>
      <c r="AP17" s="25" t="b">
        <f>ISNUMBER(FIND($C17,googlesheet!$D$24))</f>
        <v>1</v>
      </c>
      <c r="AQ17" s="25" t="b">
        <f>ISNUMBER(FIND($C17,googlesheet!$D$25))</f>
        <v>0</v>
      </c>
      <c r="AR17" s="25" t="b">
        <f>ISNUMBER(FIND($C17,googlesheet!$D$26))</f>
        <v>0</v>
      </c>
      <c r="AS17" s="25" t="b">
        <f>ISNUMBER(FIND($C17,googlesheet!$D$27))</f>
        <v>0</v>
      </c>
      <c r="AT17" s="25" t="b">
        <f>ISNUMBER(FIND($C17,googlesheet!$D$28))</f>
        <v>1</v>
      </c>
      <c r="AU17" s="25" t="b">
        <f>ISNUMBER(FIND($C17,googlesheet!$D$29))</f>
        <v>1</v>
      </c>
      <c r="AV17" s="25" t="b">
        <f>ISNUMBER(FIND($C17,googlesheet!$D$30))</f>
        <v>0</v>
      </c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</row>
    <row r="18" spans="2:77">
      <c r="B18" s="53">
        <v>17</v>
      </c>
      <c r="C18" s="54" t="s">
        <v>22</v>
      </c>
      <c r="D18" s="55">
        <v>1000</v>
      </c>
      <c r="E18" s="56">
        <v>500</v>
      </c>
      <c r="F18" s="22">
        <f t="shared" ref="F18:F20" si="12">E18/D18</f>
        <v>0.5</v>
      </c>
      <c r="G18" s="57">
        <f>F18*1.25</f>
        <v>0.625</v>
      </c>
      <c r="H18" s="57">
        <v>30</v>
      </c>
      <c r="I18" s="57">
        <f t="shared" si="0"/>
        <v>4</v>
      </c>
      <c r="J18" s="57">
        <f t="shared" si="1"/>
        <v>5</v>
      </c>
      <c r="K18" s="57">
        <f t="shared" si="3"/>
        <v>7</v>
      </c>
      <c r="L18" s="57">
        <f t="shared" si="2"/>
        <v>-2</v>
      </c>
      <c r="M18" s="57">
        <f t="shared" si="4"/>
        <v>3</v>
      </c>
      <c r="N18" s="57">
        <v>1</v>
      </c>
      <c r="O18" s="52">
        <f t="shared" si="6"/>
        <v>7</v>
      </c>
      <c r="P18" s="58">
        <f t="shared" si="7"/>
        <v>2.0690476190476192</v>
      </c>
      <c r="Q18" s="59">
        <f t="shared" si="5"/>
        <v>3.125</v>
      </c>
      <c r="R18" s="60">
        <f t="shared" si="8"/>
        <v>-1.0559523809523808</v>
      </c>
      <c r="S18" s="82">
        <f t="shared" si="9"/>
        <v>413.80952380952385</v>
      </c>
      <c r="T18" s="25" t="b">
        <f>ISNUMBER(FIND($C18,googlesheet!$D$2))</f>
        <v>0</v>
      </c>
      <c r="U18" s="25" t="b">
        <f>ISNUMBER(FIND($C18,googlesheet!$D$3))</f>
        <v>0</v>
      </c>
      <c r="V18" s="25" t="b">
        <f>ISNUMBER(FIND($C18,googlesheet!$D$4))</f>
        <v>1</v>
      </c>
      <c r="W18" s="25" t="b">
        <f>ISNUMBER(FIND($C18,googlesheet!$D$5))</f>
        <v>1</v>
      </c>
      <c r="X18" s="25" t="b">
        <f>ISNUMBER(FIND($C18,googlesheet!$D$6))</f>
        <v>0</v>
      </c>
      <c r="Y18" s="25" t="b">
        <f>ISNUMBER(FIND($C18,googlesheet!$D$7))</f>
        <v>0</v>
      </c>
      <c r="Z18" s="25" t="b">
        <f>ISNUMBER(FIND($C18,googlesheet!$D$8))</f>
        <v>1</v>
      </c>
      <c r="AA18" s="25" t="b">
        <f>ISNUMBER(FIND($C18,googlesheet!$D$9))</f>
        <v>0</v>
      </c>
      <c r="AB18" s="25" t="b">
        <f>ISNUMBER(FIND($C18,googlesheet!$D$10))</f>
        <v>0</v>
      </c>
      <c r="AC18" s="25" t="b">
        <f>ISNUMBER(FIND($C18,googlesheet!$D$11))</f>
        <v>0</v>
      </c>
      <c r="AD18" s="25" t="b">
        <f>ISNUMBER(FIND($C18,googlesheet!$D$12))</f>
        <v>0</v>
      </c>
      <c r="AE18" s="25" t="b">
        <f>ISNUMBER(FIND($C18,googlesheet!$D$13))</f>
        <v>0</v>
      </c>
      <c r="AF18" s="25" t="b">
        <f>ISNUMBER(FIND($C18,googlesheet!$D$14))</f>
        <v>0</v>
      </c>
      <c r="AG18" s="25" t="b">
        <f>ISNUMBER(FIND($C18,googlesheet!$D$15))</f>
        <v>0</v>
      </c>
      <c r="AH18" s="25" t="b">
        <f>ISNUMBER(FIND($C18,googlesheet!$D$16))</f>
        <v>0</v>
      </c>
      <c r="AI18" s="25" t="b">
        <f>ISNUMBER(FIND($C18,googlesheet!$D$17))</f>
        <v>0</v>
      </c>
      <c r="AJ18" s="25" t="b">
        <f>ISNUMBER(FIND($C18,googlesheet!$D$18))</f>
        <v>0</v>
      </c>
      <c r="AK18" s="25" t="b">
        <f>ISNUMBER(FIND($C18,googlesheet!$D$19))</f>
        <v>1</v>
      </c>
      <c r="AL18" s="25" t="b">
        <f>ISNUMBER(FIND($C18,googlesheet!$D$20))</f>
        <v>0</v>
      </c>
      <c r="AM18" s="25" t="b">
        <f>ISNUMBER(FIND($C18,googlesheet!$D$21))</f>
        <v>0</v>
      </c>
      <c r="AN18" s="25" t="b">
        <f>ISNUMBER(FIND($C18,googlesheet!$D$22))</f>
        <v>0</v>
      </c>
      <c r="AO18" s="25" t="b">
        <f>ISNUMBER(FIND($C18,googlesheet!$D$23))</f>
        <v>0</v>
      </c>
      <c r="AP18" s="25" t="b">
        <f>ISNUMBER(FIND($C18,googlesheet!$D$24))</f>
        <v>0</v>
      </c>
      <c r="AQ18" s="25" t="b">
        <f>ISNUMBER(FIND($C18,googlesheet!$D$25))</f>
        <v>1</v>
      </c>
      <c r="AR18" s="25" t="b">
        <f>ISNUMBER(FIND($C18,googlesheet!$D$26))</f>
        <v>0</v>
      </c>
      <c r="AS18" s="25" t="b">
        <f>ISNUMBER(FIND($C18,googlesheet!$D$27))</f>
        <v>1</v>
      </c>
      <c r="AT18" s="25" t="b">
        <f>ISNUMBER(FIND($C18,googlesheet!$D$28))</f>
        <v>0</v>
      </c>
      <c r="AU18" s="25" t="b">
        <f>ISNUMBER(FIND($C18,googlesheet!$D$29))</f>
        <v>1</v>
      </c>
      <c r="AV18" s="25" t="b">
        <f>ISNUMBER(FIND($C18,googlesheet!$D$30))</f>
        <v>0</v>
      </c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</row>
    <row r="19" spans="2:77">
      <c r="B19" s="53">
        <v>18</v>
      </c>
      <c r="C19" s="54" t="s">
        <v>23</v>
      </c>
      <c r="D19" s="55">
        <v>1000</v>
      </c>
      <c r="E19" s="56">
        <v>500</v>
      </c>
      <c r="F19" s="22">
        <f t="shared" si="12"/>
        <v>0.5</v>
      </c>
      <c r="G19" s="57">
        <f t="shared" si="11"/>
        <v>0.625</v>
      </c>
      <c r="H19" s="57">
        <v>30</v>
      </c>
      <c r="I19" s="57">
        <f t="shared" si="0"/>
        <v>4</v>
      </c>
      <c r="J19" s="57">
        <f t="shared" si="1"/>
        <v>5</v>
      </c>
      <c r="K19" s="57">
        <f t="shared" si="3"/>
        <v>7</v>
      </c>
      <c r="L19" s="57">
        <f t="shared" si="2"/>
        <v>-2</v>
      </c>
      <c r="M19" s="57">
        <f t="shared" si="4"/>
        <v>3</v>
      </c>
      <c r="N19" s="57">
        <v>1</v>
      </c>
      <c r="O19" s="52">
        <f t="shared" si="6"/>
        <v>5</v>
      </c>
      <c r="P19" s="58">
        <f t="shared" si="7"/>
        <v>1.2190476190476189</v>
      </c>
      <c r="Q19" s="59">
        <f t="shared" si="5"/>
        <v>3.125</v>
      </c>
      <c r="R19" s="60">
        <f t="shared" si="8"/>
        <v>-1.9059523809523811</v>
      </c>
      <c r="S19" s="82">
        <f t="shared" si="9"/>
        <v>243.8095238095238</v>
      </c>
      <c r="T19" s="25" t="b">
        <f>ISNUMBER(FIND($C19,googlesheet!$D$2))</f>
        <v>0</v>
      </c>
      <c r="U19" s="25" t="b">
        <f>ISNUMBER(FIND($C19,googlesheet!$D$3))</f>
        <v>0</v>
      </c>
      <c r="V19" s="25" t="b">
        <f>ISNUMBER(FIND($C19,googlesheet!$D$4))</f>
        <v>1</v>
      </c>
      <c r="W19" s="25" t="b">
        <f>ISNUMBER(FIND($C19,googlesheet!$D$5))</f>
        <v>1</v>
      </c>
      <c r="X19" s="25" t="b">
        <f>ISNUMBER(FIND($C19,googlesheet!$D$6))</f>
        <v>0</v>
      </c>
      <c r="Y19" s="25" t="b">
        <f>ISNUMBER(FIND($C19,googlesheet!$D$7))</f>
        <v>0</v>
      </c>
      <c r="Z19" s="25" t="b">
        <f>ISNUMBER(FIND($C19,googlesheet!$D$8))</f>
        <v>0</v>
      </c>
      <c r="AA19" s="25" t="b">
        <f>ISNUMBER(FIND($C19,googlesheet!$D$9))</f>
        <v>0</v>
      </c>
      <c r="AB19" s="25" t="b">
        <f>ISNUMBER(FIND($C19,googlesheet!$D$10))</f>
        <v>0</v>
      </c>
      <c r="AC19" s="25" t="b">
        <f>ISNUMBER(FIND($C19,googlesheet!$D$11))</f>
        <v>0</v>
      </c>
      <c r="AD19" s="25" t="b">
        <f>ISNUMBER(FIND($C19,googlesheet!$D$12))</f>
        <v>0</v>
      </c>
      <c r="AE19" s="25" t="b">
        <f>ISNUMBER(FIND($C19,googlesheet!$D$13))</f>
        <v>0</v>
      </c>
      <c r="AF19" s="25" t="b">
        <f>ISNUMBER(FIND($C19,googlesheet!$D$14))</f>
        <v>0</v>
      </c>
      <c r="AG19" s="25" t="b">
        <f>ISNUMBER(FIND($C19,googlesheet!$D$15))</f>
        <v>0</v>
      </c>
      <c r="AH19" s="25" t="b">
        <f>ISNUMBER(FIND($C19,googlesheet!$D$16))</f>
        <v>0</v>
      </c>
      <c r="AI19" s="25" t="b">
        <f>ISNUMBER(FIND($C19,googlesheet!$D$17))</f>
        <v>0</v>
      </c>
      <c r="AJ19" s="25" t="b">
        <f>ISNUMBER(FIND($C19,googlesheet!$D$18))</f>
        <v>0</v>
      </c>
      <c r="AK19" s="25" t="b">
        <f>ISNUMBER(FIND($C19,googlesheet!$D$19))</f>
        <v>1</v>
      </c>
      <c r="AL19" s="25" t="b">
        <f>ISNUMBER(FIND($C19,googlesheet!$D$20))</f>
        <v>0</v>
      </c>
      <c r="AM19" s="25" t="b">
        <f>ISNUMBER(FIND($C19,googlesheet!$D$21))</f>
        <v>0</v>
      </c>
      <c r="AN19" s="25" t="b">
        <f>ISNUMBER(FIND($C19,googlesheet!$D$22))</f>
        <v>0</v>
      </c>
      <c r="AO19" s="25" t="b">
        <f>ISNUMBER(FIND($C19,googlesheet!$D$23))</f>
        <v>0</v>
      </c>
      <c r="AP19" s="25" t="b">
        <f>ISNUMBER(FIND($C19,googlesheet!$D$24))</f>
        <v>0</v>
      </c>
      <c r="AQ19" s="25" t="b">
        <f>ISNUMBER(FIND($C19,googlesheet!$D$25))</f>
        <v>1</v>
      </c>
      <c r="AR19" s="25" t="b">
        <f>ISNUMBER(FIND($C19,googlesheet!$D$26))</f>
        <v>0</v>
      </c>
      <c r="AS19" s="25" t="b">
        <f>ISNUMBER(FIND($C19,googlesheet!$D$27))</f>
        <v>1</v>
      </c>
      <c r="AT19" s="25" t="b">
        <f>ISNUMBER(FIND($C19,googlesheet!$D$28))</f>
        <v>0</v>
      </c>
      <c r="AU19" s="25" t="b">
        <f>ISNUMBER(FIND($C19,googlesheet!$D$29))</f>
        <v>0</v>
      </c>
      <c r="AV19" s="25" t="b">
        <f>ISNUMBER(FIND($C19,googlesheet!$D$30))</f>
        <v>0</v>
      </c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</row>
    <row r="20" spans="2:77">
      <c r="B20" s="53">
        <v>19</v>
      </c>
      <c r="C20" s="54" t="s">
        <v>24</v>
      </c>
      <c r="D20" s="55">
        <v>1000</v>
      </c>
      <c r="E20" s="56">
        <v>500</v>
      </c>
      <c r="F20" s="22">
        <f t="shared" si="12"/>
        <v>0.5</v>
      </c>
      <c r="G20" s="57">
        <f t="shared" si="11"/>
        <v>0.625</v>
      </c>
      <c r="H20" s="57">
        <v>30</v>
      </c>
      <c r="I20" s="57">
        <f t="shared" si="0"/>
        <v>4</v>
      </c>
      <c r="J20" s="57">
        <f t="shared" si="1"/>
        <v>5</v>
      </c>
      <c r="K20" s="57">
        <f t="shared" si="3"/>
        <v>7</v>
      </c>
      <c r="L20" s="57">
        <f t="shared" si="2"/>
        <v>-2</v>
      </c>
      <c r="M20" s="57">
        <f t="shared" si="4"/>
        <v>3</v>
      </c>
      <c r="N20" s="57">
        <v>1</v>
      </c>
      <c r="O20" s="52">
        <f t="shared" si="6"/>
        <v>6</v>
      </c>
      <c r="P20" s="58">
        <f>SUMIF(T20:AAA20,TRUE,$T$102:$AAA$102)</f>
        <v>1.8690476190476191</v>
      </c>
      <c r="Q20" s="59">
        <f t="shared" si="5"/>
        <v>3.125</v>
      </c>
      <c r="R20" s="60">
        <f t="shared" si="8"/>
        <v>-1.2559523809523809</v>
      </c>
      <c r="S20" s="83">
        <f>P20*D20/J20</f>
        <v>373.8095238095238</v>
      </c>
      <c r="T20" s="25" t="b">
        <f>ISNUMBER(FIND($C20,googlesheet!$D$2))</f>
        <v>0</v>
      </c>
      <c r="U20" s="25" t="b">
        <f>ISNUMBER(FIND($C20,googlesheet!$D$3))</f>
        <v>0</v>
      </c>
      <c r="V20" s="25" t="b">
        <f>ISNUMBER(FIND($C20,googlesheet!$D$4))</f>
        <v>1</v>
      </c>
      <c r="W20" s="25" t="b">
        <f>ISNUMBER(FIND($C20,googlesheet!$D$5))</f>
        <v>1</v>
      </c>
      <c r="X20" s="25" t="b">
        <f>ISNUMBER(FIND($C20,googlesheet!$D$6))</f>
        <v>0</v>
      </c>
      <c r="Y20" s="25" t="b">
        <f>ISNUMBER(FIND($C20,googlesheet!$D$7))</f>
        <v>0</v>
      </c>
      <c r="Z20" s="25" t="b">
        <f>ISNUMBER(FIND($C20,googlesheet!$D$8))</f>
        <v>1</v>
      </c>
      <c r="AA20" s="25" t="b">
        <f>ISNUMBER(FIND($C20,googlesheet!$D$9))</f>
        <v>0</v>
      </c>
      <c r="AB20" s="25" t="b">
        <f>ISNUMBER(FIND($C20,googlesheet!$D$10))</f>
        <v>0</v>
      </c>
      <c r="AC20" s="25" t="b">
        <f>ISNUMBER(FIND($C20,googlesheet!$D$11))</f>
        <v>0</v>
      </c>
      <c r="AD20" s="25" t="b">
        <f>ISNUMBER(FIND($C20,googlesheet!$D$12))</f>
        <v>0</v>
      </c>
      <c r="AE20" s="25" t="b">
        <f>ISNUMBER(FIND($C20,googlesheet!$D$13))</f>
        <v>0</v>
      </c>
      <c r="AF20" s="25" t="b">
        <f>ISNUMBER(FIND($C20,googlesheet!$D$14))</f>
        <v>0</v>
      </c>
      <c r="AG20" s="25" t="b">
        <f>ISNUMBER(FIND($C20,googlesheet!$D$15))</f>
        <v>0</v>
      </c>
      <c r="AH20" s="25" t="b">
        <f>ISNUMBER(FIND($C20,googlesheet!$D$16))</f>
        <v>0</v>
      </c>
      <c r="AI20" s="25" t="b">
        <f>ISNUMBER(FIND($C20,googlesheet!$D$17))</f>
        <v>0</v>
      </c>
      <c r="AJ20" s="25" t="b">
        <f>ISNUMBER(FIND($C20,googlesheet!$D$18))</f>
        <v>0</v>
      </c>
      <c r="AK20" s="25" t="b">
        <f>ISNUMBER(FIND($C20,googlesheet!$D$19))</f>
        <v>0</v>
      </c>
      <c r="AL20" s="25" t="b">
        <f>ISNUMBER(FIND($C20,googlesheet!$D$20))</f>
        <v>0</v>
      </c>
      <c r="AM20" s="25" t="b">
        <f>ISNUMBER(FIND($C20,googlesheet!$D$21))</f>
        <v>0</v>
      </c>
      <c r="AN20" s="25" t="b">
        <f>ISNUMBER(FIND($C20,googlesheet!$D$22))</f>
        <v>0</v>
      </c>
      <c r="AO20" s="25" t="b">
        <f>ISNUMBER(FIND($C20,googlesheet!$D$23))</f>
        <v>0</v>
      </c>
      <c r="AP20" s="25" t="b">
        <f>ISNUMBER(FIND($C20,googlesheet!$D$24))</f>
        <v>0</v>
      </c>
      <c r="AQ20" s="25" t="b">
        <f>ISNUMBER(FIND($C20,googlesheet!$D$25))</f>
        <v>1</v>
      </c>
      <c r="AR20" s="25" t="b">
        <f>ISNUMBER(FIND($C20,googlesheet!$D$26))</f>
        <v>0</v>
      </c>
      <c r="AS20" s="25" t="b">
        <f>ISNUMBER(FIND($C20,googlesheet!$D$27))</f>
        <v>1</v>
      </c>
      <c r="AT20" s="25" t="b">
        <f>ISNUMBER(FIND($C20,googlesheet!$D$28))</f>
        <v>0</v>
      </c>
      <c r="AU20" s="25" t="b">
        <f>ISNUMBER(FIND($C20,googlesheet!$D$29))</f>
        <v>1</v>
      </c>
      <c r="AV20" s="25" t="b">
        <f>ISNUMBER(FIND($C20,googlesheet!$D$30))</f>
        <v>0</v>
      </c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</row>
    <row r="21" spans="2:77">
      <c r="B21" s="69"/>
      <c r="C21" s="70"/>
      <c r="D21" s="70"/>
      <c r="E21" s="70"/>
      <c r="F21" s="71"/>
      <c r="G21" s="72"/>
      <c r="H21" s="72"/>
      <c r="I21" s="72"/>
      <c r="J21" s="72"/>
      <c r="K21" s="72"/>
      <c r="L21" s="72"/>
      <c r="M21" s="72"/>
      <c r="N21" s="72"/>
      <c r="O21" s="69"/>
      <c r="P21" s="73"/>
      <c r="Q21" s="73"/>
      <c r="R21" s="74"/>
      <c r="S21" s="75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>
        <f>COUNTIF($AI3:$AI20,TRUE)</f>
        <v>9</v>
      </c>
      <c r="AJ21" s="76">
        <f>COUNTIF($AJ3:$AJ20,TRUE)</f>
        <v>3</v>
      </c>
      <c r="AK21" s="76">
        <f>COUNTIF($AK3:$AK20,TRUE)</f>
        <v>10</v>
      </c>
      <c r="AL21" s="76">
        <f>COUNTIF($AL3:$AL20,TRUE)</f>
        <v>3</v>
      </c>
      <c r="AM21" s="76">
        <f>COUNTIF($AM3:$AM20,TRUE)</f>
        <v>3</v>
      </c>
      <c r="AN21" s="76">
        <f>COUNTIF($AN3:$AN20,TRUE)</f>
        <v>5</v>
      </c>
      <c r="AO21" s="76">
        <f>COUNTIF($AO3:$AO20,TRUE)</f>
        <v>3</v>
      </c>
      <c r="AP21" s="76">
        <f>COUNTIF($AP3:$AP20,TRUE)</f>
        <v>14</v>
      </c>
      <c r="AQ21" s="76">
        <f>COUNTIF($AQ3:$AQ20,TRUE)</f>
        <v>6</v>
      </c>
      <c r="AR21" s="76">
        <f>COUNTIF($AR3:$AR20,TRUE)</f>
        <v>2</v>
      </c>
      <c r="AS21" s="76">
        <f>COUNTIF($AS3:$AS20,TRUE)</f>
        <v>7</v>
      </c>
      <c r="AT21" s="76">
        <f>COUNTIF($AT3:$AT20,TRUE)</f>
        <v>1</v>
      </c>
      <c r="AU21" s="76">
        <f>COUNTIF($AU3:$AU20,TRUE)</f>
        <v>5</v>
      </c>
      <c r="AV21" s="76">
        <f>COUNTIF($AV3:$AV20,TRUE)</f>
        <v>1</v>
      </c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</row>
    <row r="22" spans="2:77">
      <c r="B22" s="69"/>
      <c r="C22" s="70"/>
      <c r="D22" s="70"/>
      <c r="E22" s="70"/>
      <c r="F22" s="71"/>
      <c r="G22" s="72"/>
      <c r="H22" s="72"/>
      <c r="I22" s="72"/>
      <c r="J22" s="72"/>
      <c r="K22" s="72"/>
      <c r="L22" s="72"/>
      <c r="M22" s="72"/>
      <c r="N22" s="72"/>
      <c r="O22" s="69"/>
      <c r="P22" s="73"/>
      <c r="Q22" s="73"/>
      <c r="R22" s="74"/>
      <c r="S22" s="75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>
        <v>2</v>
      </c>
      <c r="AJ22" s="76">
        <v>4</v>
      </c>
      <c r="AK22" s="76">
        <v>2</v>
      </c>
      <c r="AL22" s="76">
        <v>5</v>
      </c>
      <c r="AM22" s="76">
        <v>1</v>
      </c>
      <c r="AN22" s="76">
        <v>1</v>
      </c>
      <c r="AO22" s="76">
        <v>0.5</v>
      </c>
      <c r="AP22" s="76">
        <v>2</v>
      </c>
      <c r="AQ22" s="76">
        <v>1</v>
      </c>
      <c r="AR22" s="76">
        <v>1</v>
      </c>
      <c r="AS22" s="76">
        <v>2</v>
      </c>
      <c r="AT22" s="76">
        <v>3.5</v>
      </c>
      <c r="AU22" s="76">
        <v>3</v>
      </c>
      <c r="AV22" s="76">
        <v>0.25</v>
      </c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76"/>
      <c r="BS22" s="76"/>
      <c r="BT22" s="76"/>
      <c r="BU22" s="76"/>
      <c r="BV22" s="76"/>
      <c r="BW22" s="76"/>
      <c r="BX22" s="76"/>
      <c r="BY22" s="76"/>
    </row>
    <row r="23" spans="2:77">
      <c r="B23" s="69"/>
      <c r="C23" s="70"/>
      <c r="D23" s="70"/>
      <c r="E23" s="70"/>
      <c r="F23" s="71"/>
      <c r="G23" s="72"/>
      <c r="H23" s="72"/>
      <c r="I23" s="72"/>
      <c r="J23" s="72"/>
      <c r="K23" s="72"/>
      <c r="L23" s="72"/>
      <c r="M23" s="72"/>
      <c r="N23" s="72"/>
      <c r="O23" s="69"/>
      <c r="P23" s="73"/>
      <c r="Q23" s="73"/>
      <c r="R23" s="74"/>
      <c r="S23" s="75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>
        <f>$AI22/$AI21</f>
        <v>0.22222222222222221</v>
      </c>
      <c r="AJ23" s="76">
        <f>$AJ22/$AJ21</f>
        <v>1.3333333333333333</v>
      </c>
      <c r="AK23" s="76">
        <f>$AK22/$AK21</f>
        <v>0.2</v>
      </c>
      <c r="AL23" s="76">
        <f>$AL22/$AL21</f>
        <v>1.6666666666666667</v>
      </c>
      <c r="AM23" s="76">
        <f>$AM22/$AM21</f>
        <v>0.33333333333333331</v>
      </c>
      <c r="AN23" s="76">
        <f>$AN22/$AN21</f>
        <v>0.2</v>
      </c>
      <c r="AO23" s="76">
        <f>$AO22/$AO21</f>
        <v>0.16666666666666666</v>
      </c>
      <c r="AP23" s="76">
        <f>$AP22/$AP21</f>
        <v>0.14285714285714285</v>
      </c>
      <c r="AQ23" s="76">
        <f>$AQ22/$AQ21</f>
        <v>0.16666666666666666</v>
      </c>
      <c r="AR23" s="76">
        <f>$AR22/$AR21</f>
        <v>0.5</v>
      </c>
      <c r="AS23" s="76">
        <f>$AS22/$AS21</f>
        <v>0.2857142857142857</v>
      </c>
      <c r="AT23" s="76">
        <f>$AT22/$AT21</f>
        <v>3.5</v>
      </c>
      <c r="AU23" s="76">
        <f>$AU22/$AU21</f>
        <v>0.6</v>
      </c>
      <c r="AV23" s="76">
        <f>$AV22/$AV21</f>
        <v>0.25</v>
      </c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</row>
    <row r="24" spans="2:77">
      <c r="B24" s="69"/>
      <c r="C24" s="70"/>
      <c r="D24" s="70"/>
      <c r="E24" s="70"/>
      <c r="F24" s="71"/>
      <c r="G24" s="72"/>
      <c r="H24" s="72"/>
      <c r="I24" s="72"/>
      <c r="J24" s="72"/>
      <c r="K24" s="72"/>
      <c r="L24" s="72"/>
      <c r="M24" s="72"/>
      <c r="N24" s="72"/>
      <c r="O24" s="69"/>
      <c r="P24" s="73"/>
      <c r="Q24" s="73"/>
      <c r="R24" s="74"/>
      <c r="S24" s="75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</row>
    <row r="25" spans="2:77">
      <c r="B25" s="69"/>
      <c r="C25" s="70"/>
      <c r="D25" s="70"/>
      <c r="E25" s="70"/>
      <c r="F25" s="71"/>
      <c r="G25" s="72"/>
      <c r="H25" s="72"/>
      <c r="I25" s="72"/>
      <c r="J25" s="72"/>
      <c r="K25" s="72"/>
      <c r="L25" s="72"/>
      <c r="M25" s="72"/>
      <c r="N25" s="72"/>
      <c r="O25" s="69"/>
      <c r="P25" s="73"/>
      <c r="Q25" s="73"/>
      <c r="R25" s="74"/>
      <c r="S25" s="75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76"/>
      <c r="BS25" s="76"/>
      <c r="BT25" s="76"/>
      <c r="BU25" s="76"/>
      <c r="BV25" s="76"/>
      <c r="BW25" s="76"/>
      <c r="BX25" s="76"/>
      <c r="BY25" s="76"/>
    </row>
    <row r="26" spans="2:77">
      <c r="B26" s="69"/>
      <c r="C26" s="70"/>
      <c r="D26" s="70"/>
      <c r="E26" s="70"/>
      <c r="F26" s="71"/>
      <c r="G26" s="72"/>
      <c r="H26" s="72"/>
      <c r="I26" s="72"/>
      <c r="J26" s="72"/>
      <c r="K26" s="72"/>
      <c r="L26" s="72"/>
      <c r="M26" s="72"/>
      <c r="N26" s="72"/>
      <c r="O26" s="69"/>
      <c r="P26" s="73"/>
      <c r="Q26" s="73"/>
      <c r="R26" s="74"/>
      <c r="S26" s="75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76"/>
      <c r="BS26" s="76"/>
      <c r="BT26" s="76"/>
      <c r="BU26" s="76"/>
      <c r="BV26" s="76"/>
      <c r="BW26" s="76"/>
      <c r="BX26" s="76"/>
      <c r="BY26" s="76"/>
    </row>
    <row r="27" spans="2:77">
      <c r="B27" s="69"/>
      <c r="C27" s="70"/>
      <c r="D27" s="70"/>
      <c r="E27" s="70"/>
      <c r="F27" s="71"/>
      <c r="G27" s="72"/>
      <c r="H27" s="72"/>
      <c r="I27" s="72"/>
      <c r="J27" s="72"/>
      <c r="K27" s="72"/>
      <c r="L27" s="72"/>
      <c r="M27" s="72"/>
      <c r="N27" s="72"/>
      <c r="O27" s="69"/>
      <c r="P27" s="73"/>
      <c r="Q27" s="73"/>
      <c r="R27" s="74"/>
      <c r="S27" s="75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</row>
    <row r="28" spans="2:77">
      <c r="B28" s="69"/>
      <c r="C28" s="70"/>
      <c r="D28" s="70"/>
      <c r="E28" s="70"/>
      <c r="F28" s="71"/>
      <c r="G28" s="72"/>
      <c r="H28" s="72"/>
      <c r="I28" s="72"/>
      <c r="J28" s="72"/>
      <c r="K28" s="72"/>
      <c r="L28" s="72"/>
      <c r="M28" s="72"/>
      <c r="N28" s="72"/>
      <c r="O28" s="69"/>
      <c r="P28" s="73"/>
      <c r="Q28" s="73"/>
      <c r="R28" s="74"/>
      <c r="S28" s="75"/>
      <c r="T28" s="76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</row>
    <row r="29" spans="2:77">
      <c r="B29" s="69"/>
      <c r="C29" s="70"/>
      <c r="D29" s="70"/>
      <c r="E29" s="70"/>
      <c r="F29" s="71"/>
      <c r="G29" s="72"/>
      <c r="H29" s="72"/>
      <c r="I29" s="72"/>
      <c r="J29" s="72"/>
      <c r="K29" s="72"/>
      <c r="L29" s="72"/>
      <c r="M29" s="72"/>
      <c r="N29" s="72"/>
      <c r="O29" s="69"/>
      <c r="P29" s="73"/>
      <c r="Q29" s="73"/>
      <c r="R29" s="74"/>
      <c r="S29" s="75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76"/>
      <c r="BS29" s="76"/>
      <c r="BT29" s="76"/>
      <c r="BU29" s="76"/>
      <c r="BV29" s="76"/>
      <c r="BW29" s="76"/>
      <c r="BX29" s="76"/>
      <c r="BY29" s="76"/>
    </row>
    <row r="30" spans="2:77">
      <c r="B30" s="69"/>
      <c r="C30" s="70"/>
      <c r="D30" s="70"/>
      <c r="E30" s="70"/>
      <c r="F30" s="71"/>
      <c r="G30" s="72"/>
      <c r="H30" s="72"/>
      <c r="I30" s="72"/>
      <c r="J30" s="72"/>
      <c r="K30" s="72"/>
      <c r="L30" s="72"/>
      <c r="M30" s="72"/>
      <c r="N30" s="72"/>
      <c r="O30" s="69"/>
      <c r="P30" s="73"/>
      <c r="Q30" s="73"/>
      <c r="R30" s="74"/>
      <c r="S30" s="75"/>
      <c r="T30" s="76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76"/>
      <c r="BS30" s="76"/>
      <c r="BT30" s="76"/>
      <c r="BU30" s="76"/>
      <c r="BV30" s="76"/>
      <c r="BW30" s="76"/>
      <c r="BX30" s="76"/>
      <c r="BY30" s="76"/>
    </row>
    <row r="31" spans="2:77">
      <c r="B31" s="69"/>
      <c r="C31" s="70"/>
      <c r="D31" s="70"/>
      <c r="E31" s="70"/>
      <c r="F31" s="71"/>
      <c r="G31" s="72"/>
      <c r="H31" s="72"/>
      <c r="I31" s="72"/>
      <c r="J31" s="72"/>
      <c r="K31" s="72"/>
      <c r="L31" s="72"/>
      <c r="M31" s="72"/>
      <c r="N31" s="72"/>
      <c r="O31" s="69"/>
      <c r="P31" s="73"/>
      <c r="Q31" s="73"/>
      <c r="R31" s="74"/>
      <c r="S31" s="75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76"/>
      <c r="BS31" s="76"/>
      <c r="BT31" s="76"/>
      <c r="BU31" s="76"/>
      <c r="BV31" s="76"/>
      <c r="BW31" s="76"/>
      <c r="BX31" s="76"/>
      <c r="BY31" s="76"/>
    </row>
    <row r="32" spans="2:77">
      <c r="B32" s="69"/>
      <c r="C32" s="70"/>
      <c r="D32" s="70"/>
      <c r="E32" s="70"/>
      <c r="F32" s="71"/>
      <c r="G32" s="72"/>
      <c r="H32" s="72"/>
      <c r="I32" s="72"/>
      <c r="J32" s="72"/>
      <c r="K32" s="72"/>
      <c r="L32" s="72"/>
      <c r="M32" s="72"/>
      <c r="N32" s="72"/>
      <c r="O32" s="69"/>
      <c r="P32" s="73"/>
      <c r="Q32" s="73"/>
      <c r="R32" s="74"/>
      <c r="S32" s="75"/>
      <c r="T32" s="76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6"/>
      <c r="BV32" s="76"/>
      <c r="BW32" s="76"/>
      <c r="BX32" s="76"/>
      <c r="BY32" s="76"/>
    </row>
    <row r="33" spans="2:77">
      <c r="B33" s="69"/>
      <c r="C33" s="70"/>
      <c r="D33" s="70"/>
      <c r="E33" s="70"/>
      <c r="F33" s="71"/>
      <c r="G33" s="72"/>
      <c r="H33" s="72"/>
      <c r="I33" s="72"/>
      <c r="J33" s="72"/>
      <c r="K33" s="72"/>
      <c r="L33" s="72"/>
      <c r="M33" s="72"/>
      <c r="N33" s="72"/>
      <c r="O33" s="69"/>
      <c r="P33" s="73"/>
      <c r="Q33" s="73"/>
      <c r="R33" s="74"/>
      <c r="S33" s="75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</row>
    <row r="34" spans="2:77">
      <c r="B34" s="69"/>
      <c r="C34" s="70"/>
      <c r="D34" s="70"/>
      <c r="E34" s="70"/>
      <c r="F34" s="71"/>
      <c r="G34" s="72"/>
      <c r="H34" s="72"/>
      <c r="I34" s="72"/>
      <c r="J34" s="72"/>
      <c r="K34" s="72"/>
      <c r="L34" s="72"/>
      <c r="M34" s="72"/>
      <c r="N34" s="72"/>
      <c r="O34" s="69"/>
      <c r="P34" s="73"/>
      <c r="Q34" s="73"/>
      <c r="R34" s="74"/>
      <c r="S34" s="75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</row>
    <row r="35" spans="2:77">
      <c r="B35" s="69"/>
      <c r="C35" s="70"/>
      <c r="D35" s="70"/>
      <c r="E35" s="70"/>
      <c r="F35" s="71"/>
      <c r="G35" s="72"/>
      <c r="H35" s="72"/>
      <c r="I35" s="72"/>
      <c r="J35" s="72"/>
      <c r="K35" s="72"/>
      <c r="L35" s="72"/>
      <c r="M35" s="72"/>
      <c r="N35" s="72"/>
      <c r="O35" s="69"/>
      <c r="P35" s="73"/>
      <c r="Q35" s="73"/>
      <c r="R35" s="74"/>
      <c r="S35" s="75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</row>
    <row r="36" spans="2:77">
      <c r="B36" s="69"/>
      <c r="C36" s="70"/>
      <c r="D36" s="70"/>
      <c r="E36" s="70"/>
      <c r="F36" s="71"/>
      <c r="G36" s="72"/>
      <c r="H36" s="72"/>
      <c r="I36" s="72"/>
      <c r="J36" s="72"/>
      <c r="K36" s="72"/>
      <c r="L36" s="72"/>
      <c r="M36" s="72"/>
      <c r="N36" s="72"/>
      <c r="O36" s="69"/>
      <c r="P36" s="73"/>
      <c r="Q36" s="73"/>
      <c r="R36" s="74"/>
      <c r="S36" s="75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</row>
    <row r="37" spans="2:77">
      <c r="B37" s="69"/>
      <c r="C37" s="70"/>
      <c r="D37" s="70"/>
      <c r="E37" s="70"/>
      <c r="F37" s="71"/>
      <c r="G37" s="72"/>
      <c r="H37" s="72"/>
      <c r="I37" s="72"/>
      <c r="J37" s="72"/>
      <c r="K37" s="72"/>
      <c r="L37" s="72"/>
      <c r="M37" s="72"/>
      <c r="N37" s="72"/>
      <c r="O37" s="69"/>
      <c r="P37" s="73"/>
      <c r="Q37" s="73"/>
      <c r="R37" s="74"/>
      <c r="S37" s="75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</row>
    <row r="38" spans="2:77">
      <c r="B38" s="69"/>
      <c r="C38" s="70"/>
      <c r="D38" s="70"/>
      <c r="E38" s="70"/>
      <c r="F38" s="71"/>
      <c r="G38" s="72"/>
      <c r="H38" s="72"/>
      <c r="I38" s="72"/>
      <c r="J38" s="72"/>
      <c r="K38" s="72"/>
      <c r="L38" s="72"/>
      <c r="M38" s="72"/>
      <c r="N38" s="72"/>
      <c r="O38" s="69"/>
      <c r="P38" s="73"/>
      <c r="Q38" s="73"/>
      <c r="R38" s="74"/>
      <c r="S38" s="75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</row>
    <row r="39" spans="2:77">
      <c r="B39" s="69"/>
      <c r="C39" s="70"/>
      <c r="D39" s="70"/>
      <c r="E39" s="70"/>
      <c r="F39" s="71"/>
      <c r="G39" s="72"/>
      <c r="H39" s="72"/>
      <c r="I39" s="72"/>
      <c r="J39" s="72"/>
      <c r="K39" s="72"/>
      <c r="L39" s="72"/>
      <c r="M39" s="72"/>
      <c r="N39" s="72"/>
      <c r="O39" s="69"/>
      <c r="P39" s="73"/>
      <c r="Q39" s="73"/>
      <c r="R39" s="74"/>
      <c r="S39" s="75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</row>
    <row r="40" spans="2:77">
      <c r="B40" s="69"/>
      <c r="C40" s="70"/>
      <c r="D40" s="70"/>
      <c r="E40" s="70"/>
      <c r="F40" s="71"/>
      <c r="G40" s="72"/>
      <c r="H40" s="72"/>
      <c r="I40" s="72"/>
      <c r="J40" s="72"/>
      <c r="K40" s="72"/>
      <c r="L40" s="72"/>
      <c r="M40" s="72"/>
      <c r="N40" s="72"/>
      <c r="O40" s="69"/>
      <c r="P40" s="73"/>
      <c r="Q40" s="73"/>
      <c r="R40" s="74"/>
      <c r="S40" s="75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</row>
    <row r="41" spans="2:77">
      <c r="B41" s="69"/>
      <c r="C41" s="70"/>
      <c r="D41" s="70"/>
      <c r="E41" s="70"/>
      <c r="F41" s="71"/>
      <c r="G41" s="72"/>
      <c r="H41" s="72"/>
      <c r="I41" s="72"/>
      <c r="J41" s="72"/>
      <c r="K41" s="72"/>
      <c r="L41" s="72"/>
      <c r="M41" s="72"/>
      <c r="N41" s="72"/>
      <c r="O41" s="69"/>
      <c r="P41" s="73"/>
      <c r="Q41" s="73"/>
      <c r="R41" s="74"/>
      <c r="S41" s="75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</row>
    <row r="42" spans="2:77">
      <c r="B42" s="69"/>
      <c r="C42" s="70"/>
      <c r="D42" s="70"/>
      <c r="E42" s="70"/>
      <c r="F42" s="71"/>
      <c r="G42" s="72"/>
      <c r="H42" s="72"/>
      <c r="I42" s="72"/>
      <c r="J42" s="72"/>
      <c r="K42" s="72"/>
      <c r="L42" s="72"/>
      <c r="M42" s="72"/>
      <c r="N42" s="72"/>
      <c r="O42" s="69"/>
      <c r="P42" s="73"/>
      <c r="Q42" s="73"/>
      <c r="R42" s="74"/>
      <c r="S42" s="75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</row>
    <row r="43" spans="2:77">
      <c r="B43" s="69"/>
      <c r="C43" s="70"/>
      <c r="D43" s="70"/>
      <c r="E43" s="70"/>
      <c r="F43" s="71"/>
      <c r="G43" s="72"/>
      <c r="H43" s="72"/>
      <c r="I43" s="72"/>
      <c r="J43" s="72"/>
      <c r="K43" s="72"/>
      <c r="L43" s="72"/>
      <c r="M43" s="72"/>
      <c r="N43" s="72"/>
      <c r="O43" s="69"/>
      <c r="P43" s="73"/>
      <c r="Q43" s="73"/>
      <c r="R43" s="74"/>
      <c r="S43" s="75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</row>
    <row r="44" spans="2:77">
      <c r="B44" s="69"/>
      <c r="C44" s="70"/>
      <c r="D44" s="70"/>
      <c r="E44" s="70"/>
      <c r="F44" s="71"/>
      <c r="G44" s="72"/>
      <c r="H44" s="72"/>
      <c r="I44" s="72"/>
      <c r="J44" s="72"/>
      <c r="K44" s="72"/>
      <c r="L44" s="72"/>
      <c r="M44" s="72"/>
      <c r="N44" s="72"/>
      <c r="O44" s="69"/>
      <c r="P44" s="73"/>
      <c r="Q44" s="73"/>
      <c r="R44" s="74"/>
      <c r="S44" s="75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  <c r="BF44" s="76"/>
      <c r="BG44" s="76"/>
      <c r="BH44" s="76"/>
      <c r="BI44" s="76"/>
      <c r="BJ44" s="76"/>
      <c r="BK44" s="76"/>
      <c r="BL44" s="76"/>
      <c r="BM44" s="76"/>
      <c r="BN44" s="76"/>
      <c r="BO44" s="76"/>
      <c r="BP44" s="76"/>
      <c r="BQ44" s="76"/>
      <c r="BR44" s="76"/>
      <c r="BS44" s="76"/>
      <c r="BT44" s="76"/>
      <c r="BU44" s="76"/>
      <c r="BV44" s="76"/>
      <c r="BW44" s="76"/>
      <c r="BX44" s="76"/>
      <c r="BY44" s="76"/>
    </row>
    <row r="45" spans="2:77">
      <c r="B45" s="69"/>
      <c r="C45" s="70"/>
      <c r="D45" s="70"/>
      <c r="E45" s="70"/>
      <c r="F45" s="71"/>
      <c r="G45" s="72"/>
      <c r="H45" s="72"/>
      <c r="I45" s="72"/>
      <c r="J45" s="72"/>
      <c r="K45" s="72"/>
      <c r="L45" s="72"/>
      <c r="M45" s="72"/>
      <c r="N45" s="72"/>
      <c r="O45" s="69"/>
      <c r="P45" s="73"/>
      <c r="Q45" s="73"/>
      <c r="R45" s="74"/>
      <c r="S45" s="75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  <c r="BF45" s="76"/>
      <c r="BG45" s="76"/>
      <c r="BH45" s="76"/>
      <c r="BI45" s="76"/>
      <c r="BJ45" s="76"/>
      <c r="BK45" s="76"/>
      <c r="BL45" s="76"/>
      <c r="BM45" s="76"/>
      <c r="BN45" s="76"/>
      <c r="BO45" s="76"/>
      <c r="BP45" s="76"/>
      <c r="BQ45" s="76"/>
      <c r="BR45" s="76"/>
      <c r="BS45" s="76"/>
      <c r="BT45" s="76"/>
      <c r="BU45" s="76"/>
      <c r="BV45" s="76"/>
      <c r="BW45" s="76"/>
      <c r="BX45" s="76"/>
      <c r="BY45" s="76"/>
    </row>
    <row r="46" spans="2:77">
      <c r="B46" s="69"/>
      <c r="C46" s="70"/>
      <c r="D46" s="70"/>
      <c r="E46" s="70"/>
      <c r="F46" s="71"/>
      <c r="G46" s="72"/>
      <c r="H46" s="72"/>
      <c r="I46" s="72"/>
      <c r="J46" s="72"/>
      <c r="K46" s="72"/>
      <c r="L46" s="72"/>
      <c r="M46" s="72"/>
      <c r="N46" s="72"/>
      <c r="O46" s="69"/>
      <c r="P46" s="73"/>
      <c r="Q46" s="73"/>
      <c r="R46" s="74"/>
      <c r="S46" s="75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/>
      <c r="BU46" s="76"/>
      <c r="BV46" s="76"/>
      <c r="BW46" s="76"/>
      <c r="BX46" s="76"/>
      <c r="BY46" s="76"/>
    </row>
    <row r="47" spans="2:77">
      <c r="B47" s="69"/>
      <c r="C47" s="70"/>
      <c r="D47" s="70"/>
      <c r="E47" s="70"/>
      <c r="F47" s="71"/>
      <c r="G47" s="72"/>
      <c r="H47" s="72"/>
      <c r="I47" s="72"/>
      <c r="J47" s="72"/>
      <c r="K47" s="72"/>
      <c r="L47" s="72"/>
      <c r="M47" s="72"/>
      <c r="N47" s="72"/>
      <c r="O47" s="69"/>
      <c r="P47" s="73"/>
      <c r="Q47" s="73"/>
      <c r="R47" s="74"/>
      <c r="S47" s="75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  <c r="BU47" s="76"/>
      <c r="BV47" s="76"/>
      <c r="BW47" s="76"/>
      <c r="BX47" s="76"/>
      <c r="BY47" s="76"/>
    </row>
    <row r="48" spans="2:77">
      <c r="B48" s="69"/>
      <c r="C48" s="70"/>
      <c r="D48" s="70"/>
      <c r="E48" s="70"/>
      <c r="F48" s="71"/>
      <c r="G48" s="72"/>
      <c r="H48" s="72"/>
      <c r="I48" s="72"/>
      <c r="J48" s="72"/>
      <c r="K48" s="72"/>
      <c r="L48" s="72"/>
      <c r="M48" s="72"/>
      <c r="N48" s="72"/>
      <c r="O48" s="69"/>
      <c r="P48" s="73"/>
      <c r="Q48" s="73"/>
      <c r="R48" s="74"/>
      <c r="S48" s="75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  <c r="BU48" s="76"/>
      <c r="BV48" s="76"/>
      <c r="BW48" s="76"/>
      <c r="BX48" s="76"/>
      <c r="BY48" s="76"/>
    </row>
    <row r="49" spans="2:77">
      <c r="B49" s="69"/>
      <c r="C49" s="70"/>
      <c r="D49" s="70"/>
      <c r="E49" s="70"/>
      <c r="F49" s="71"/>
      <c r="G49" s="72"/>
      <c r="H49" s="72"/>
      <c r="I49" s="72"/>
      <c r="J49" s="72"/>
      <c r="K49" s="72"/>
      <c r="L49" s="72"/>
      <c r="M49" s="72"/>
      <c r="N49" s="72"/>
      <c r="O49" s="69"/>
      <c r="P49" s="73"/>
      <c r="Q49" s="73"/>
      <c r="R49" s="74"/>
      <c r="S49" s="75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  <c r="BU49" s="76"/>
      <c r="BV49" s="76"/>
      <c r="BW49" s="76"/>
      <c r="BX49" s="76"/>
      <c r="BY49" s="76"/>
    </row>
    <row r="50" spans="2:77">
      <c r="B50" s="69"/>
      <c r="C50" s="70"/>
      <c r="D50" s="70"/>
      <c r="E50" s="70"/>
      <c r="F50" s="71"/>
      <c r="G50" s="72"/>
      <c r="H50" s="72"/>
      <c r="I50" s="72"/>
      <c r="J50" s="72"/>
      <c r="K50" s="72"/>
      <c r="L50" s="72"/>
      <c r="M50" s="72"/>
      <c r="N50" s="72"/>
      <c r="O50" s="69"/>
      <c r="P50" s="73"/>
      <c r="Q50" s="73"/>
      <c r="R50" s="74"/>
      <c r="S50" s="75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  <c r="BU50" s="76"/>
      <c r="BV50" s="76"/>
      <c r="BW50" s="76"/>
      <c r="BX50" s="76"/>
      <c r="BY50" s="76"/>
    </row>
    <row r="51" spans="2:77">
      <c r="B51" s="69"/>
      <c r="C51" s="70"/>
      <c r="D51" s="70"/>
      <c r="E51" s="70"/>
      <c r="F51" s="71"/>
      <c r="G51" s="72"/>
      <c r="H51" s="72"/>
      <c r="I51" s="72"/>
      <c r="J51" s="72"/>
      <c r="K51" s="72"/>
      <c r="L51" s="72"/>
      <c r="M51" s="72"/>
      <c r="N51" s="72"/>
      <c r="O51" s="69"/>
      <c r="P51" s="73"/>
      <c r="Q51" s="73"/>
      <c r="R51" s="74"/>
      <c r="S51" s="75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  <c r="BU51" s="76"/>
      <c r="BV51" s="76"/>
      <c r="BW51" s="76"/>
      <c r="BX51" s="76"/>
      <c r="BY51" s="76"/>
    </row>
    <row r="52" spans="2:77">
      <c r="B52" s="69"/>
      <c r="C52" s="70"/>
      <c r="D52" s="70"/>
      <c r="E52" s="70"/>
      <c r="F52" s="71"/>
      <c r="G52" s="72"/>
      <c r="H52" s="72"/>
      <c r="I52" s="72"/>
      <c r="J52" s="72"/>
      <c r="K52" s="72"/>
      <c r="L52" s="72"/>
      <c r="M52" s="72"/>
      <c r="N52" s="72"/>
      <c r="O52" s="69"/>
      <c r="P52" s="73"/>
      <c r="Q52" s="73"/>
      <c r="R52" s="74"/>
      <c r="S52" s="75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  <c r="BU52" s="76"/>
      <c r="BV52" s="76"/>
      <c r="BW52" s="76"/>
      <c r="BX52" s="76"/>
      <c r="BY52" s="76"/>
    </row>
    <row r="53" spans="2:77">
      <c r="B53" s="69"/>
      <c r="C53" s="70"/>
      <c r="D53" s="70"/>
      <c r="E53" s="70"/>
      <c r="F53" s="71"/>
      <c r="G53" s="72"/>
      <c r="H53" s="72"/>
      <c r="I53" s="72"/>
      <c r="J53" s="72"/>
      <c r="K53" s="72"/>
      <c r="L53" s="72"/>
      <c r="M53" s="72"/>
      <c r="N53" s="72"/>
      <c r="O53" s="69"/>
      <c r="P53" s="73"/>
      <c r="Q53" s="73"/>
      <c r="R53" s="74"/>
      <c r="S53" s="75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  <c r="BU53" s="76"/>
      <c r="BV53" s="76"/>
      <c r="BW53" s="76"/>
      <c r="BX53" s="76"/>
      <c r="BY53" s="76"/>
    </row>
    <row r="54" spans="2:77">
      <c r="B54" s="69"/>
      <c r="C54" s="70"/>
      <c r="D54" s="70"/>
      <c r="E54" s="70"/>
      <c r="F54" s="71"/>
      <c r="G54" s="72"/>
      <c r="H54" s="72"/>
      <c r="I54" s="72"/>
      <c r="J54" s="72"/>
      <c r="K54" s="72"/>
      <c r="L54" s="72"/>
      <c r="M54" s="72"/>
      <c r="N54" s="72"/>
      <c r="O54" s="69"/>
      <c r="P54" s="73"/>
      <c r="Q54" s="73"/>
      <c r="R54" s="74"/>
      <c r="S54" s="75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  <c r="BU54" s="76"/>
      <c r="BV54" s="76"/>
      <c r="BW54" s="76"/>
      <c r="BX54" s="76"/>
      <c r="BY54" s="76"/>
    </row>
    <row r="55" spans="2:77">
      <c r="B55" s="69"/>
      <c r="C55" s="70"/>
      <c r="D55" s="70"/>
      <c r="E55" s="70"/>
      <c r="F55" s="71"/>
      <c r="G55" s="72"/>
      <c r="H55" s="72"/>
      <c r="I55" s="72"/>
      <c r="J55" s="72"/>
      <c r="K55" s="72"/>
      <c r="L55" s="72"/>
      <c r="M55" s="72"/>
      <c r="N55" s="72"/>
      <c r="O55" s="69"/>
      <c r="P55" s="73"/>
      <c r="Q55" s="73"/>
      <c r="R55" s="74"/>
      <c r="S55" s="75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</row>
    <row r="56" spans="2:77">
      <c r="B56" s="69"/>
      <c r="C56" s="70"/>
      <c r="D56" s="70"/>
      <c r="E56" s="70"/>
      <c r="F56" s="71"/>
      <c r="G56" s="72"/>
      <c r="H56" s="72"/>
      <c r="I56" s="72"/>
      <c r="J56" s="72"/>
      <c r="K56" s="72"/>
      <c r="L56" s="72"/>
      <c r="M56" s="72"/>
      <c r="N56" s="72"/>
      <c r="O56" s="69"/>
      <c r="P56" s="73"/>
      <c r="Q56" s="73"/>
      <c r="R56" s="74"/>
      <c r="S56" s="75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/>
      <c r="BO56" s="76"/>
      <c r="BP56" s="76"/>
      <c r="BQ56" s="76"/>
      <c r="BR56" s="76"/>
      <c r="BS56" s="76"/>
      <c r="BT56" s="76"/>
      <c r="BU56" s="76"/>
      <c r="BV56" s="76"/>
      <c r="BW56" s="76"/>
      <c r="BX56" s="76"/>
      <c r="BY56" s="76"/>
    </row>
    <row r="57" spans="2:77">
      <c r="B57" s="69"/>
      <c r="C57" s="70"/>
      <c r="D57" s="70"/>
      <c r="E57" s="70"/>
      <c r="F57" s="71"/>
      <c r="G57" s="72"/>
      <c r="H57" s="72"/>
      <c r="I57" s="72"/>
      <c r="J57" s="72"/>
      <c r="K57" s="72"/>
      <c r="L57" s="72"/>
      <c r="M57" s="72"/>
      <c r="N57" s="72"/>
      <c r="O57" s="69"/>
      <c r="P57" s="73"/>
      <c r="Q57" s="73"/>
      <c r="R57" s="74"/>
      <c r="S57" s="75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</row>
    <row r="58" spans="2:77">
      <c r="B58" s="69"/>
      <c r="C58" s="70"/>
      <c r="D58" s="70"/>
      <c r="E58" s="70"/>
      <c r="F58" s="71"/>
      <c r="G58" s="72"/>
      <c r="H58" s="72"/>
      <c r="I58" s="72"/>
      <c r="J58" s="72"/>
      <c r="K58" s="72"/>
      <c r="L58" s="72"/>
      <c r="M58" s="72"/>
      <c r="N58" s="72"/>
      <c r="O58" s="69"/>
      <c r="P58" s="73"/>
      <c r="Q58" s="73"/>
      <c r="R58" s="74"/>
      <c r="S58" s="75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</row>
    <row r="59" spans="2:77">
      <c r="B59" s="69"/>
      <c r="C59" s="70"/>
      <c r="D59" s="70"/>
      <c r="E59" s="70"/>
      <c r="F59" s="71"/>
      <c r="G59" s="72"/>
      <c r="H59" s="72"/>
      <c r="I59" s="72"/>
      <c r="J59" s="72"/>
      <c r="K59" s="72"/>
      <c r="L59" s="72"/>
      <c r="M59" s="72"/>
      <c r="N59" s="72"/>
      <c r="O59" s="69"/>
      <c r="P59" s="73"/>
      <c r="Q59" s="73"/>
      <c r="R59" s="74"/>
      <c r="S59" s="75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</row>
    <row r="60" spans="2:77">
      <c r="B60" s="69"/>
      <c r="C60" s="70"/>
      <c r="D60" s="70"/>
      <c r="E60" s="70"/>
      <c r="F60" s="71"/>
      <c r="G60" s="72"/>
      <c r="H60" s="72"/>
      <c r="I60" s="72"/>
      <c r="J60" s="72"/>
      <c r="K60" s="72"/>
      <c r="L60" s="72"/>
      <c r="M60" s="72"/>
      <c r="N60" s="72"/>
      <c r="O60" s="69"/>
      <c r="P60" s="73"/>
      <c r="Q60" s="73"/>
      <c r="R60" s="74"/>
      <c r="S60" s="75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  <c r="BU60" s="76"/>
      <c r="BV60" s="76"/>
      <c r="BW60" s="76"/>
      <c r="BX60" s="76"/>
      <c r="BY60" s="76"/>
    </row>
    <row r="61" spans="2:77">
      <c r="B61" s="69"/>
      <c r="C61" s="70"/>
      <c r="D61" s="70"/>
      <c r="E61" s="70"/>
      <c r="F61" s="71"/>
      <c r="G61" s="72"/>
      <c r="H61" s="72"/>
      <c r="I61" s="72"/>
      <c r="J61" s="72"/>
      <c r="K61" s="72"/>
      <c r="L61" s="72"/>
      <c r="M61" s="72"/>
      <c r="N61" s="72"/>
      <c r="O61" s="69"/>
      <c r="P61" s="73"/>
      <c r="Q61" s="73"/>
      <c r="R61" s="74"/>
      <c r="S61" s="75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  <c r="BU61" s="76"/>
      <c r="BV61" s="76"/>
      <c r="BW61" s="76"/>
      <c r="BX61" s="76"/>
      <c r="BY61" s="76"/>
    </row>
    <row r="62" spans="2:77">
      <c r="B62" s="69"/>
      <c r="C62" s="70"/>
      <c r="D62" s="70"/>
      <c r="E62" s="70"/>
      <c r="F62" s="71"/>
      <c r="G62" s="72"/>
      <c r="H62" s="72"/>
      <c r="I62" s="72"/>
      <c r="J62" s="72"/>
      <c r="K62" s="72"/>
      <c r="L62" s="72"/>
      <c r="M62" s="72"/>
      <c r="N62" s="72"/>
      <c r="O62" s="69"/>
      <c r="P62" s="73"/>
      <c r="Q62" s="73"/>
      <c r="R62" s="74"/>
      <c r="S62" s="75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</row>
    <row r="63" spans="2:77">
      <c r="B63" s="69"/>
      <c r="C63" s="70"/>
      <c r="D63" s="70"/>
      <c r="E63" s="70"/>
      <c r="F63" s="71"/>
      <c r="G63" s="72"/>
      <c r="H63" s="72"/>
      <c r="I63" s="72"/>
      <c r="J63" s="72"/>
      <c r="K63" s="72"/>
      <c r="L63" s="72"/>
      <c r="M63" s="72"/>
      <c r="N63" s="72"/>
      <c r="O63" s="69"/>
      <c r="P63" s="73"/>
      <c r="Q63" s="73"/>
      <c r="R63" s="74"/>
      <c r="S63" s="75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</row>
    <row r="64" spans="2:77">
      <c r="B64" s="69"/>
      <c r="C64" s="70"/>
      <c r="D64" s="70"/>
      <c r="E64" s="70"/>
      <c r="F64" s="71"/>
      <c r="G64" s="72"/>
      <c r="H64" s="72"/>
      <c r="I64" s="72"/>
      <c r="J64" s="72"/>
      <c r="K64" s="72"/>
      <c r="L64" s="72"/>
      <c r="M64" s="72"/>
      <c r="N64" s="72"/>
      <c r="O64" s="69"/>
      <c r="P64" s="73"/>
      <c r="Q64" s="73"/>
      <c r="R64" s="74"/>
      <c r="S64" s="75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</row>
    <row r="65" spans="2:77">
      <c r="B65" s="69"/>
      <c r="C65" s="70"/>
      <c r="D65" s="70"/>
      <c r="E65" s="70"/>
      <c r="F65" s="71"/>
      <c r="G65" s="72"/>
      <c r="H65" s="72"/>
      <c r="I65" s="72"/>
      <c r="J65" s="72"/>
      <c r="K65" s="72"/>
      <c r="L65" s="72"/>
      <c r="M65" s="72"/>
      <c r="N65" s="72"/>
      <c r="O65" s="69"/>
      <c r="P65" s="73"/>
      <c r="Q65" s="73"/>
      <c r="R65" s="74"/>
      <c r="S65" s="75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</row>
    <row r="66" spans="2:77">
      <c r="B66" s="69"/>
      <c r="C66" s="70"/>
      <c r="D66" s="70"/>
      <c r="E66" s="70"/>
      <c r="F66" s="71"/>
      <c r="G66" s="72"/>
      <c r="H66" s="72"/>
      <c r="I66" s="72"/>
      <c r="J66" s="72"/>
      <c r="K66" s="72"/>
      <c r="L66" s="72"/>
      <c r="M66" s="72"/>
      <c r="N66" s="72"/>
      <c r="O66" s="69"/>
      <c r="P66" s="73"/>
      <c r="Q66" s="73"/>
      <c r="R66" s="74"/>
      <c r="S66" s="75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</row>
    <row r="67" spans="2:77">
      <c r="B67" s="69"/>
      <c r="C67" s="70"/>
      <c r="D67" s="70"/>
      <c r="E67" s="70"/>
      <c r="F67" s="71"/>
      <c r="G67" s="72"/>
      <c r="H67" s="72"/>
      <c r="I67" s="72"/>
      <c r="J67" s="72"/>
      <c r="K67" s="72"/>
      <c r="L67" s="72"/>
      <c r="M67" s="72"/>
      <c r="N67" s="72"/>
      <c r="O67" s="69"/>
      <c r="P67" s="73"/>
      <c r="Q67" s="73"/>
      <c r="R67" s="74"/>
      <c r="S67" s="75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</row>
    <row r="68" spans="2:77">
      <c r="B68" s="69"/>
      <c r="C68" s="70"/>
      <c r="D68" s="70"/>
      <c r="E68" s="70"/>
      <c r="F68" s="71"/>
      <c r="G68" s="72"/>
      <c r="H68" s="72"/>
      <c r="I68" s="72"/>
      <c r="J68" s="72"/>
      <c r="K68" s="72"/>
      <c r="L68" s="72"/>
      <c r="M68" s="72"/>
      <c r="N68" s="72"/>
      <c r="O68" s="69"/>
      <c r="P68" s="73"/>
      <c r="Q68" s="73"/>
      <c r="R68" s="74"/>
      <c r="S68" s="75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</row>
    <row r="69" spans="2:77">
      <c r="B69" s="69"/>
      <c r="C69" s="70"/>
      <c r="D69" s="70"/>
      <c r="E69" s="70"/>
      <c r="F69" s="71"/>
      <c r="G69" s="72"/>
      <c r="H69" s="72"/>
      <c r="I69" s="72"/>
      <c r="J69" s="72"/>
      <c r="K69" s="72"/>
      <c r="L69" s="72"/>
      <c r="M69" s="72"/>
      <c r="N69" s="72"/>
      <c r="O69" s="69"/>
      <c r="P69" s="73"/>
      <c r="Q69" s="73"/>
      <c r="R69" s="74"/>
      <c r="S69" s="75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/>
      <c r="BQ69" s="76"/>
      <c r="BR69" s="76"/>
      <c r="BS69" s="76"/>
      <c r="BT69" s="76"/>
      <c r="BU69" s="76"/>
      <c r="BV69" s="76"/>
      <c r="BW69" s="76"/>
      <c r="BX69" s="76"/>
      <c r="BY69" s="76"/>
    </row>
    <row r="70" spans="2:77">
      <c r="B70" s="69"/>
      <c r="C70" s="70"/>
      <c r="D70" s="70"/>
      <c r="E70" s="70"/>
      <c r="F70" s="71"/>
      <c r="G70" s="72"/>
      <c r="H70" s="72"/>
      <c r="I70" s="72"/>
      <c r="J70" s="72"/>
      <c r="K70" s="72"/>
      <c r="L70" s="72"/>
      <c r="M70" s="72"/>
      <c r="N70" s="72"/>
      <c r="O70" s="69"/>
      <c r="P70" s="73"/>
      <c r="Q70" s="73"/>
      <c r="R70" s="74"/>
      <c r="S70" s="75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</row>
    <row r="71" spans="2:77">
      <c r="B71" s="69"/>
      <c r="C71" s="70"/>
      <c r="D71" s="70"/>
      <c r="E71" s="70"/>
      <c r="F71" s="71"/>
      <c r="G71" s="72"/>
      <c r="H71" s="72"/>
      <c r="I71" s="72"/>
      <c r="J71" s="72"/>
      <c r="K71" s="72"/>
      <c r="L71" s="72"/>
      <c r="M71" s="72"/>
      <c r="N71" s="72"/>
      <c r="O71" s="69"/>
      <c r="P71" s="73"/>
      <c r="Q71" s="73"/>
      <c r="R71" s="74"/>
      <c r="S71" s="75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  <c r="BU71" s="76"/>
      <c r="BV71" s="76"/>
      <c r="BW71" s="76"/>
      <c r="BX71" s="76"/>
      <c r="BY71" s="76"/>
    </row>
    <row r="72" spans="2:77">
      <c r="B72" s="69"/>
      <c r="C72" s="70"/>
      <c r="D72" s="70"/>
      <c r="E72" s="70"/>
      <c r="F72" s="71"/>
      <c r="G72" s="72"/>
      <c r="H72" s="72"/>
      <c r="I72" s="72"/>
      <c r="J72" s="72"/>
      <c r="K72" s="72"/>
      <c r="L72" s="72"/>
      <c r="M72" s="72"/>
      <c r="N72" s="72"/>
      <c r="O72" s="69"/>
      <c r="P72" s="73"/>
      <c r="Q72" s="73"/>
      <c r="R72" s="74"/>
      <c r="S72" s="75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</row>
    <row r="73" spans="2:77">
      <c r="B73" s="69"/>
      <c r="C73" s="70"/>
      <c r="D73" s="70"/>
      <c r="E73" s="70"/>
      <c r="F73" s="71"/>
      <c r="G73" s="72"/>
      <c r="H73" s="72"/>
      <c r="I73" s="72"/>
      <c r="J73" s="72"/>
      <c r="K73" s="72"/>
      <c r="L73" s="72"/>
      <c r="M73" s="72"/>
      <c r="N73" s="72"/>
      <c r="O73" s="69"/>
      <c r="P73" s="73"/>
      <c r="Q73" s="73"/>
      <c r="R73" s="74"/>
      <c r="S73" s="75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  <c r="BU73" s="76"/>
      <c r="BV73" s="76"/>
      <c r="BW73" s="76"/>
      <c r="BX73" s="76"/>
      <c r="BY73" s="76"/>
    </row>
    <row r="74" spans="2:77">
      <c r="B74" s="69"/>
      <c r="C74" s="70"/>
      <c r="D74" s="70"/>
      <c r="E74" s="70"/>
      <c r="F74" s="71"/>
      <c r="G74" s="72"/>
      <c r="H74" s="72"/>
      <c r="I74" s="72"/>
      <c r="J74" s="72"/>
      <c r="K74" s="72"/>
      <c r="L74" s="72"/>
      <c r="M74" s="72"/>
      <c r="N74" s="72"/>
      <c r="O74" s="69"/>
      <c r="P74" s="73"/>
      <c r="Q74" s="73"/>
      <c r="R74" s="74"/>
      <c r="S74" s="75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  <c r="BU74" s="76"/>
      <c r="BV74" s="76"/>
      <c r="BW74" s="76"/>
      <c r="BX74" s="76"/>
      <c r="BY74" s="76"/>
    </row>
    <row r="75" spans="2:77">
      <c r="B75" s="69"/>
      <c r="C75" s="70"/>
      <c r="D75" s="70"/>
      <c r="E75" s="70"/>
      <c r="F75" s="71"/>
      <c r="G75" s="72"/>
      <c r="H75" s="72"/>
      <c r="I75" s="72"/>
      <c r="J75" s="72"/>
      <c r="K75" s="72"/>
      <c r="L75" s="72"/>
      <c r="M75" s="72"/>
      <c r="N75" s="72"/>
      <c r="O75" s="69"/>
      <c r="P75" s="73"/>
      <c r="Q75" s="73"/>
      <c r="R75" s="74"/>
      <c r="S75" s="75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/>
      <c r="BY75" s="76"/>
    </row>
    <row r="76" spans="2:77">
      <c r="B76" s="69"/>
      <c r="C76" s="70"/>
      <c r="D76" s="70"/>
      <c r="E76" s="70"/>
      <c r="F76" s="71"/>
      <c r="G76" s="72"/>
      <c r="H76" s="72"/>
      <c r="I76" s="72"/>
      <c r="J76" s="72"/>
      <c r="K76" s="72"/>
      <c r="L76" s="72"/>
      <c r="M76" s="72"/>
      <c r="N76" s="72"/>
      <c r="O76" s="69"/>
      <c r="P76" s="73"/>
      <c r="Q76" s="73"/>
      <c r="R76" s="74"/>
      <c r="S76" s="75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  <c r="BU76" s="76"/>
      <c r="BV76" s="76"/>
      <c r="BW76" s="76"/>
      <c r="BX76" s="76"/>
      <c r="BY76" s="76"/>
    </row>
    <row r="77" spans="2:77">
      <c r="B77" s="69"/>
      <c r="C77" s="70"/>
      <c r="D77" s="70"/>
      <c r="E77" s="70"/>
      <c r="F77" s="71"/>
      <c r="G77" s="72"/>
      <c r="H77" s="72"/>
      <c r="I77" s="72"/>
      <c r="J77" s="72"/>
      <c r="K77" s="72"/>
      <c r="L77" s="72"/>
      <c r="M77" s="72"/>
      <c r="N77" s="72"/>
      <c r="O77" s="69"/>
      <c r="P77" s="73"/>
      <c r="Q77" s="73"/>
      <c r="R77" s="74"/>
      <c r="S77" s="75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  <c r="BU77" s="76"/>
      <c r="BV77" s="76"/>
      <c r="BW77" s="76"/>
      <c r="BX77" s="76"/>
      <c r="BY77" s="76"/>
    </row>
    <row r="78" spans="2:77">
      <c r="B78" s="69"/>
      <c r="C78" s="70"/>
      <c r="D78" s="70"/>
      <c r="E78" s="70"/>
      <c r="F78" s="71"/>
      <c r="G78" s="72"/>
      <c r="H78" s="72"/>
      <c r="I78" s="72"/>
      <c r="J78" s="72"/>
      <c r="K78" s="72"/>
      <c r="L78" s="72"/>
      <c r="M78" s="72"/>
      <c r="N78" s="72"/>
      <c r="O78" s="69"/>
      <c r="P78" s="73"/>
      <c r="Q78" s="73"/>
      <c r="R78" s="74"/>
      <c r="S78" s="75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/>
      <c r="BS78" s="76"/>
      <c r="BT78" s="76"/>
      <c r="BU78" s="76"/>
      <c r="BV78" s="76"/>
      <c r="BW78" s="76"/>
      <c r="BX78" s="76"/>
      <c r="BY78" s="76"/>
    </row>
    <row r="79" spans="2:77">
      <c r="B79" s="69"/>
      <c r="C79" s="70"/>
      <c r="D79" s="70"/>
      <c r="E79" s="70"/>
      <c r="F79" s="71"/>
      <c r="G79" s="72"/>
      <c r="H79" s="72"/>
      <c r="I79" s="72"/>
      <c r="J79" s="72"/>
      <c r="K79" s="72"/>
      <c r="L79" s="72"/>
      <c r="M79" s="72"/>
      <c r="N79" s="72"/>
      <c r="O79" s="69"/>
      <c r="P79" s="73"/>
      <c r="Q79" s="73"/>
      <c r="R79" s="74"/>
      <c r="S79" s="75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  <c r="BU79" s="76"/>
      <c r="BV79" s="76"/>
      <c r="BW79" s="76"/>
      <c r="BX79" s="76"/>
      <c r="BY79" s="76"/>
    </row>
    <row r="80" spans="2:77">
      <c r="B80" s="69"/>
      <c r="C80" s="70"/>
      <c r="D80" s="70"/>
      <c r="E80" s="70"/>
      <c r="F80" s="71"/>
      <c r="G80" s="72"/>
      <c r="H80" s="72"/>
      <c r="I80" s="72"/>
      <c r="J80" s="72"/>
      <c r="K80" s="72"/>
      <c r="L80" s="72"/>
      <c r="M80" s="72"/>
      <c r="N80" s="72"/>
      <c r="O80" s="69"/>
      <c r="P80" s="73"/>
      <c r="Q80" s="73"/>
      <c r="R80" s="74"/>
      <c r="S80" s="75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/>
      <c r="BK80" s="76"/>
      <c r="BL80" s="76"/>
      <c r="BM80" s="76"/>
      <c r="BN80" s="76"/>
      <c r="BO80" s="76"/>
      <c r="BP80" s="76"/>
      <c r="BQ80" s="76"/>
      <c r="BR80" s="76"/>
      <c r="BS80" s="76"/>
      <c r="BT80" s="76"/>
      <c r="BU80" s="76"/>
      <c r="BV80" s="76"/>
      <c r="BW80" s="76"/>
      <c r="BX80" s="76"/>
      <c r="BY80" s="76"/>
    </row>
    <row r="81" spans="2:77">
      <c r="B81" s="69"/>
      <c r="C81" s="70"/>
      <c r="D81" s="70"/>
      <c r="E81" s="70"/>
      <c r="F81" s="71"/>
      <c r="G81" s="72"/>
      <c r="H81" s="72"/>
      <c r="I81" s="72"/>
      <c r="J81" s="72"/>
      <c r="K81" s="72"/>
      <c r="L81" s="72"/>
      <c r="M81" s="72"/>
      <c r="N81" s="72"/>
      <c r="O81" s="69"/>
      <c r="P81" s="73"/>
      <c r="Q81" s="73"/>
      <c r="R81" s="74"/>
      <c r="S81" s="75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  <c r="BU81" s="76"/>
      <c r="BV81" s="76"/>
      <c r="BW81" s="76"/>
      <c r="BX81" s="76"/>
      <c r="BY81" s="76"/>
    </row>
    <row r="82" spans="2:77">
      <c r="B82" s="69"/>
      <c r="C82" s="70"/>
      <c r="D82" s="70"/>
      <c r="E82" s="70"/>
      <c r="F82" s="71"/>
      <c r="G82" s="72"/>
      <c r="H82" s="72"/>
      <c r="I82" s="72"/>
      <c r="J82" s="72"/>
      <c r="K82" s="72"/>
      <c r="L82" s="72"/>
      <c r="M82" s="72"/>
      <c r="N82" s="72"/>
      <c r="O82" s="69"/>
      <c r="P82" s="73"/>
      <c r="Q82" s="73"/>
      <c r="R82" s="74"/>
      <c r="S82" s="75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/>
      <c r="BW82" s="76"/>
      <c r="BX82" s="76"/>
      <c r="BY82" s="76"/>
    </row>
    <row r="83" spans="2:77">
      <c r="B83" s="69"/>
      <c r="C83" s="70"/>
      <c r="D83" s="70"/>
      <c r="E83" s="70"/>
      <c r="F83" s="71"/>
      <c r="G83" s="72"/>
      <c r="H83" s="72"/>
      <c r="I83" s="72"/>
      <c r="J83" s="72"/>
      <c r="K83" s="72"/>
      <c r="L83" s="72"/>
      <c r="M83" s="72"/>
      <c r="N83" s="72"/>
      <c r="O83" s="69"/>
      <c r="P83" s="73"/>
      <c r="Q83" s="73"/>
      <c r="R83" s="74"/>
      <c r="S83" s="75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76"/>
      <c r="BJ83" s="76"/>
      <c r="BK83" s="76"/>
      <c r="BL83" s="76"/>
      <c r="BM83" s="76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76"/>
      <c r="BY83" s="76"/>
    </row>
    <row r="84" spans="2:77">
      <c r="B84" s="69"/>
      <c r="C84" s="70"/>
      <c r="D84" s="70"/>
      <c r="E84" s="70"/>
      <c r="F84" s="71"/>
      <c r="G84" s="72"/>
      <c r="H84" s="72"/>
      <c r="I84" s="72"/>
      <c r="J84" s="72"/>
      <c r="K84" s="72"/>
      <c r="L84" s="72"/>
      <c r="M84" s="72"/>
      <c r="N84" s="72"/>
      <c r="O84" s="69"/>
      <c r="P84" s="73"/>
      <c r="Q84" s="73"/>
      <c r="R84" s="74"/>
      <c r="S84" s="75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  <c r="BU84" s="76"/>
      <c r="BV84" s="76"/>
      <c r="BW84" s="76"/>
      <c r="BX84" s="76"/>
      <c r="BY84" s="76"/>
    </row>
    <row r="85" spans="2:77">
      <c r="B85" s="69"/>
      <c r="C85" s="70"/>
      <c r="D85" s="70"/>
      <c r="E85" s="70"/>
      <c r="F85" s="71"/>
      <c r="G85" s="72"/>
      <c r="H85" s="72"/>
      <c r="I85" s="72"/>
      <c r="J85" s="72"/>
      <c r="K85" s="72"/>
      <c r="L85" s="72"/>
      <c r="M85" s="72"/>
      <c r="N85" s="72"/>
      <c r="O85" s="69"/>
      <c r="P85" s="73"/>
      <c r="Q85" s="73"/>
      <c r="R85" s="74"/>
      <c r="S85" s="75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  <c r="BU85" s="76"/>
      <c r="BV85" s="76"/>
      <c r="BW85" s="76"/>
      <c r="BX85" s="76"/>
      <c r="BY85" s="76"/>
    </row>
    <row r="86" spans="2:77">
      <c r="B86" s="69"/>
      <c r="C86" s="70"/>
      <c r="D86" s="70"/>
      <c r="E86" s="70"/>
      <c r="F86" s="71"/>
      <c r="G86" s="72"/>
      <c r="H86" s="72"/>
      <c r="I86" s="72"/>
      <c r="J86" s="72"/>
      <c r="K86" s="72"/>
      <c r="L86" s="72"/>
      <c r="M86" s="72"/>
      <c r="N86" s="72"/>
      <c r="O86" s="69"/>
      <c r="P86" s="73"/>
      <c r="Q86" s="73"/>
      <c r="R86" s="74"/>
      <c r="S86" s="75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</row>
    <row r="87" spans="2:77">
      <c r="B87" s="69"/>
      <c r="C87" s="70"/>
      <c r="D87" s="70"/>
      <c r="E87" s="70"/>
      <c r="F87" s="71"/>
      <c r="G87" s="72"/>
      <c r="H87" s="72"/>
      <c r="I87" s="72"/>
      <c r="J87" s="72"/>
      <c r="K87" s="72"/>
      <c r="L87" s="72"/>
      <c r="M87" s="72"/>
      <c r="N87" s="72"/>
      <c r="O87" s="69"/>
      <c r="P87" s="73"/>
      <c r="Q87" s="73"/>
      <c r="R87" s="74"/>
      <c r="S87" s="75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76"/>
      <c r="BJ87" s="76"/>
      <c r="BK87" s="76"/>
      <c r="BL87" s="76"/>
      <c r="BM87" s="76"/>
      <c r="BN87" s="76"/>
      <c r="BO87" s="76"/>
      <c r="BP87" s="76"/>
      <c r="BQ87" s="76"/>
      <c r="BR87" s="76"/>
      <c r="BS87" s="76"/>
      <c r="BT87" s="76"/>
      <c r="BU87" s="76"/>
      <c r="BV87" s="76"/>
      <c r="BW87" s="76"/>
      <c r="BX87" s="76"/>
      <c r="BY87" s="76"/>
    </row>
    <row r="88" spans="2:77">
      <c r="B88" s="69"/>
      <c r="C88" s="70"/>
      <c r="D88" s="70"/>
      <c r="E88" s="70"/>
      <c r="F88" s="71"/>
      <c r="G88" s="72"/>
      <c r="H88" s="72"/>
      <c r="I88" s="72"/>
      <c r="J88" s="72"/>
      <c r="K88" s="72"/>
      <c r="L88" s="72"/>
      <c r="M88" s="72"/>
      <c r="N88" s="72"/>
      <c r="O88" s="69"/>
      <c r="P88" s="73"/>
      <c r="Q88" s="73"/>
      <c r="R88" s="74"/>
      <c r="S88" s="75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76"/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76"/>
      <c r="BY88" s="76"/>
    </row>
    <row r="89" spans="2:77">
      <c r="B89" s="69"/>
      <c r="C89" s="70"/>
      <c r="D89" s="70"/>
      <c r="E89" s="70"/>
      <c r="F89" s="71"/>
      <c r="G89" s="72"/>
      <c r="H89" s="72"/>
      <c r="I89" s="72"/>
      <c r="J89" s="72"/>
      <c r="K89" s="72"/>
      <c r="L89" s="72"/>
      <c r="M89" s="72"/>
      <c r="N89" s="72"/>
      <c r="O89" s="69"/>
      <c r="P89" s="73"/>
      <c r="Q89" s="73"/>
      <c r="R89" s="74"/>
      <c r="S89" s="75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  <c r="BU89" s="76"/>
      <c r="BV89" s="76"/>
      <c r="BW89" s="76"/>
      <c r="BX89" s="76"/>
      <c r="BY89" s="76"/>
    </row>
    <row r="90" spans="2:77">
      <c r="B90" s="69"/>
      <c r="C90" s="70"/>
      <c r="D90" s="70"/>
      <c r="E90" s="70"/>
      <c r="F90" s="71"/>
      <c r="G90" s="72"/>
      <c r="H90" s="72"/>
      <c r="I90" s="72"/>
      <c r="J90" s="72"/>
      <c r="K90" s="72"/>
      <c r="L90" s="72"/>
      <c r="M90" s="72"/>
      <c r="N90" s="72"/>
      <c r="O90" s="69"/>
      <c r="P90" s="73"/>
      <c r="Q90" s="73"/>
      <c r="R90" s="74"/>
      <c r="S90" s="75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/>
      <c r="BK90" s="76"/>
      <c r="BL90" s="76"/>
      <c r="BM90" s="76"/>
      <c r="BN90" s="76"/>
      <c r="BO90" s="76"/>
      <c r="BP90" s="76"/>
      <c r="BQ90" s="76"/>
      <c r="BR90" s="76"/>
      <c r="BS90" s="76"/>
      <c r="BT90" s="76"/>
      <c r="BU90" s="76"/>
      <c r="BV90" s="76"/>
      <c r="BW90" s="76"/>
      <c r="BX90" s="76"/>
      <c r="BY90" s="76"/>
    </row>
    <row r="91" spans="2:77">
      <c r="B91" s="69"/>
      <c r="C91" s="70"/>
      <c r="D91" s="70"/>
      <c r="E91" s="70"/>
      <c r="F91" s="71"/>
      <c r="G91" s="72"/>
      <c r="H91" s="72"/>
      <c r="I91" s="72"/>
      <c r="J91" s="72"/>
      <c r="K91" s="72"/>
      <c r="L91" s="72"/>
      <c r="M91" s="72"/>
      <c r="N91" s="72"/>
      <c r="O91" s="69"/>
      <c r="P91" s="73"/>
      <c r="Q91" s="73"/>
      <c r="R91" s="74"/>
      <c r="S91" s="75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76"/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/>
      <c r="BU91" s="76"/>
      <c r="BV91" s="76"/>
      <c r="BW91" s="76"/>
      <c r="BX91" s="76"/>
      <c r="BY91" s="76"/>
    </row>
    <row r="92" spans="2:77">
      <c r="B92" s="69"/>
      <c r="C92" s="70"/>
      <c r="D92" s="70"/>
      <c r="E92" s="70"/>
      <c r="F92" s="71"/>
      <c r="G92" s="72"/>
      <c r="H92" s="72"/>
      <c r="I92" s="72"/>
      <c r="J92" s="72"/>
      <c r="K92" s="72"/>
      <c r="L92" s="72"/>
      <c r="M92" s="72"/>
      <c r="N92" s="72"/>
      <c r="O92" s="69"/>
      <c r="P92" s="73"/>
      <c r="Q92" s="73"/>
      <c r="R92" s="74"/>
      <c r="S92" s="75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  <c r="BU92" s="76"/>
      <c r="BV92" s="76"/>
      <c r="BW92" s="76"/>
      <c r="BX92" s="76"/>
      <c r="BY92" s="76"/>
    </row>
    <row r="93" spans="2:77">
      <c r="B93" s="69"/>
      <c r="C93" s="70"/>
      <c r="D93" s="70"/>
      <c r="E93" s="70"/>
      <c r="F93" s="71"/>
      <c r="G93" s="72"/>
      <c r="H93" s="72"/>
      <c r="I93" s="72"/>
      <c r="J93" s="72"/>
      <c r="K93" s="72"/>
      <c r="L93" s="72"/>
      <c r="M93" s="72"/>
      <c r="N93" s="72"/>
      <c r="O93" s="69"/>
      <c r="P93" s="73"/>
      <c r="Q93" s="73"/>
      <c r="R93" s="74"/>
      <c r="S93" s="75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  <c r="BU93" s="76"/>
      <c r="BV93" s="76"/>
      <c r="BW93" s="76"/>
      <c r="BX93" s="76"/>
      <c r="BY93" s="76"/>
    </row>
    <row r="94" spans="2:77">
      <c r="B94" s="69"/>
      <c r="C94" s="70"/>
      <c r="D94" s="70"/>
      <c r="E94" s="70"/>
      <c r="F94" s="71"/>
      <c r="G94" s="72"/>
      <c r="H94" s="72"/>
      <c r="I94" s="72"/>
      <c r="J94" s="72"/>
      <c r="K94" s="72"/>
      <c r="L94" s="72"/>
      <c r="M94" s="72"/>
      <c r="N94" s="72"/>
      <c r="O94" s="69"/>
      <c r="P94" s="73"/>
      <c r="Q94" s="73"/>
      <c r="R94" s="74"/>
      <c r="S94" s="75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  <c r="BU94" s="76"/>
      <c r="BV94" s="76"/>
      <c r="BW94" s="76"/>
      <c r="BX94" s="76"/>
      <c r="BY94" s="76"/>
    </row>
    <row r="95" spans="2:77">
      <c r="B95" s="69"/>
      <c r="C95" s="70"/>
      <c r="D95" s="70"/>
      <c r="E95" s="70"/>
      <c r="F95" s="71"/>
      <c r="G95" s="72"/>
      <c r="H95" s="72"/>
      <c r="I95" s="72"/>
      <c r="J95" s="72"/>
      <c r="K95" s="72"/>
      <c r="L95" s="72"/>
      <c r="M95" s="72"/>
      <c r="N95" s="72"/>
      <c r="O95" s="69"/>
      <c r="P95" s="73"/>
      <c r="Q95" s="73"/>
      <c r="R95" s="74"/>
      <c r="S95" s="75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  <c r="BU95" s="76"/>
      <c r="BV95" s="76"/>
      <c r="BW95" s="76"/>
      <c r="BX95" s="76"/>
      <c r="BY95" s="76"/>
    </row>
    <row r="96" spans="2:77">
      <c r="B96" s="69"/>
      <c r="C96" s="70"/>
      <c r="D96" s="70"/>
      <c r="E96" s="70"/>
      <c r="F96" s="71"/>
      <c r="G96" s="72"/>
      <c r="H96" s="72"/>
      <c r="I96" s="72"/>
      <c r="J96" s="72"/>
      <c r="K96" s="72"/>
      <c r="L96" s="72"/>
      <c r="M96" s="72"/>
      <c r="N96" s="72"/>
      <c r="O96" s="69"/>
      <c r="P96" s="73"/>
      <c r="Q96" s="73"/>
      <c r="R96" s="74"/>
      <c r="S96" s="75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  <c r="BU96" s="76"/>
      <c r="BV96" s="76"/>
      <c r="BW96" s="76"/>
      <c r="BX96" s="76"/>
      <c r="BY96" s="76"/>
    </row>
    <row r="97" spans="2:77">
      <c r="B97" s="69"/>
      <c r="C97" s="70"/>
      <c r="D97" s="70"/>
      <c r="E97" s="70"/>
      <c r="F97" s="71"/>
      <c r="G97" s="72"/>
      <c r="H97" s="72"/>
      <c r="I97" s="72"/>
      <c r="J97" s="72"/>
      <c r="K97" s="72"/>
      <c r="L97" s="72"/>
      <c r="M97" s="72"/>
      <c r="N97" s="72"/>
      <c r="O97" s="69"/>
      <c r="P97" s="73"/>
      <c r="Q97" s="73"/>
      <c r="R97" s="74"/>
      <c r="S97" s="75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  <c r="BU97" s="76"/>
      <c r="BV97" s="76"/>
      <c r="BW97" s="76"/>
      <c r="BX97" s="76"/>
      <c r="BY97" s="76"/>
    </row>
    <row r="98" spans="2:77">
      <c r="B98" s="69"/>
      <c r="C98" s="70"/>
      <c r="D98" s="70"/>
      <c r="E98" s="70"/>
      <c r="F98" s="71"/>
      <c r="G98" s="72"/>
      <c r="H98" s="72"/>
      <c r="I98" s="72"/>
      <c r="J98" s="72"/>
      <c r="K98" s="72"/>
      <c r="L98" s="72"/>
      <c r="M98" s="72"/>
      <c r="N98" s="72"/>
      <c r="O98" s="69"/>
      <c r="P98" s="73"/>
      <c r="Q98" s="73"/>
      <c r="R98" s="74"/>
      <c r="S98" s="75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  <c r="BJ98" s="76"/>
      <c r="BK98" s="76"/>
      <c r="BL98" s="76"/>
      <c r="BM98" s="76"/>
      <c r="BN98" s="76"/>
      <c r="BO98" s="76"/>
      <c r="BP98" s="76"/>
      <c r="BQ98" s="76"/>
      <c r="BR98" s="76"/>
      <c r="BS98" s="76"/>
      <c r="BT98" s="76"/>
      <c r="BU98" s="76"/>
      <c r="BV98" s="76"/>
      <c r="BW98" s="76"/>
      <c r="BX98" s="76"/>
      <c r="BY98" s="76"/>
    </row>
    <row r="99" spans="2:77">
      <c r="B99" s="69"/>
      <c r="C99" s="70"/>
      <c r="D99" s="70"/>
      <c r="E99" s="70"/>
      <c r="F99" s="71"/>
      <c r="G99" s="72"/>
      <c r="H99" s="72"/>
      <c r="I99" s="72"/>
      <c r="J99" s="72"/>
      <c r="K99" s="72"/>
      <c r="L99" s="72"/>
      <c r="M99" s="72"/>
      <c r="N99" s="72"/>
      <c r="O99" s="69"/>
      <c r="P99" s="73"/>
      <c r="Q99" s="73"/>
      <c r="R99" s="74"/>
      <c r="S99" s="75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</row>
    <row r="100" spans="2:77">
      <c r="P100" s="36">
        <f>SUM(P3:P20)</f>
        <v>45.5</v>
      </c>
      <c r="R100" s="36">
        <f>SUM(R3:R20)</f>
        <v>-6.8472222222222232</v>
      </c>
      <c r="S100" s="2" t="s">
        <v>115</v>
      </c>
      <c r="T100" s="36">
        <f>COUNTIF(T3:T20,TRUE)</f>
        <v>1</v>
      </c>
      <c r="U100" s="36">
        <f t="shared" ref="U100:AC100" si="13">COUNTIF(U3:U20,TRUE)</f>
        <v>1</v>
      </c>
      <c r="V100" s="36">
        <f t="shared" si="13"/>
        <v>6</v>
      </c>
      <c r="W100" s="36">
        <f t="shared" si="13"/>
        <v>5</v>
      </c>
      <c r="X100" s="36">
        <f t="shared" si="13"/>
        <v>2</v>
      </c>
      <c r="Y100" s="36">
        <f t="shared" si="13"/>
        <v>6</v>
      </c>
      <c r="Z100" s="36">
        <f>COUNTIF(Z3:Z20,TRUE)</f>
        <v>12</v>
      </c>
      <c r="AA100" s="36">
        <f t="shared" si="13"/>
        <v>6</v>
      </c>
      <c r="AB100" s="36">
        <f t="shared" si="13"/>
        <v>2</v>
      </c>
      <c r="AC100" s="36">
        <f t="shared" si="13"/>
        <v>5</v>
      </c>
      <c r="AD100" s="36">
        <f t="shared" ref="AD100" si="14">COUNTIF(AD3:AD20,TRUE)</f>
        <v>5</v>
      </c>
      <c r="AE100" s="36">
        <f>COUNTIF($AE3:$AE20,TRUE)</f>
        <v>1</v>
      </c>
      <c r="AF100" s="36">
        <f>COUNTIF($AF3:$AF20,TRUE)</f>
        <v>4</v>
      </c>
      <c r="AG100" s="36">
        <f>COUNTIF($AG3:$AG20,TRUE)</f>
        <v>1</v>
      </c>
      <c r="AH100" s="36">
        <f>COUNTIF($AH3:$AH20,TRUE)</f>
        <v>1</v>
      </c>
      <c r="AI100" s="36">
        <v>9</v>
      </c>
      <c r="AJ100" s="36">
        <v>3</v>
      </c>
      <c r="AK100" s="36">
        <v>10</v>
      </c>
      <c r="AL100" s="36">
        <v>3</v>
      </c>
      <c r="AM100" s="36">
        <v>3</v>
      </c>
      <c r="AN100" s="36">
        <v>4</v>
      </c>
      <c r="AO100" s="36">
        <v>3</v>
      </c>
      <c r="AP100" s="36">
        <v>14</v>
      </c>
      <c r="AQ100" s="36">
        <v>6</v>
      </c>
      <c r="AR100" s="36">
        <v>2</v>
      </c>
      <c r="AS100" s="36">
        <v>7</v>
      </c>
      <c r="AT100" s="36">
        <v>1</v>
      </c>
      <c r="AU100" s="36">
        <v>5</v>
      </c>
      <c r="AV100" s="36">
        <v>1</v>
      </c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</row>
    <row r="101" spans="2:77">
      <c r="J101" s="36"/>
      <c r="R101" s="2"/>
      <c r="S101" s="2" t="s">
        <v>109</v>
      </c>
      <c r="T101" s="36">
        <v>2</v>
      </c>
      <c r="U101" s="36">
        <v>1</v>
      </c>
      <c r="V101" s="36">
        <v>1</v>
      </c>
      <c r="W101" s="36">
        <v>2</v>
      </c>
      <c r="X101" s="36">
        <v>1</v>
      </c>
      <c r="Y101" s="36">
        <v>0.5</v>
      </c>
      <c r="Z101" s="36">
        <v>3</v>
      </c>
      <c r="AA101" s="36">
        <v>1</v>
      </c>
      <c r="AB101" s="36">
        <v>0.25</v>
      </c>
      <c r="AC101" s="36">
        <v>0.75</v>
      </c>
      <c r="AD101" s="36">
        <v>0.5</v>
      </c>
      <c r="AE101" s="36">
        <v>0.5</v>
      </c>
      <c r="AF101" s="36">
        <v>1</v>
      </c>
      <c r="AG101" s="36">
        <v>2.5</v>
      </c>
      <c r="AH101" s="36">
        <v>2</v>
      </c>
      <c r="AI101" s="36">
        <v>2</v>
      </c>
      <c r="AJ101" s="36">
        <v>2</v>
      </c>
      <c r="AK101" s="36">
        <v>2</v>
      </c>
      <c r="AL101" s="36">
        <v>5</v>
      </c>
      <c r="AM101" s="36">
        <v>1</v>
      </c>
      <c r="AN101" s="36">
        <v>1</v>
      </c>
      <c r="AO101" s="36">
        <v>0.5</v>
      </c>
      <c r="AP101" s="36">
        <v>2</v>
      </c>
      <c r="AQ101" s="36">
        <v>1</v>
      </c>
      <c r="AR101" s="36">
        <v>1</v>
      </c>
      <c r="AS101" s="36">
        <v>2</v>
      </c>
      <c r="AT101" s="36">
        <v>3.5</v>
      </c>
      <c r="AU101" s="36">
        <v>3</v>
      </c>
      <c r="AV101" s="36">
        <v>0.25</v>
      </c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</row>
    <row r="102" spans="2:77">
      <c r="R102" s="2"/>
      <c r="S102" s="2" t="s">
        <v>110</v>
      </c>
      <c r="T102" s="36">
        <f>T101/T100</f>
        <v>2</v>
      </c>
      <c r="U102" s="36">
        <f t="shared" ref="U102:AC102" si="15">U101/U100</f>
        <v>1</v>
      </c>
      <c r="V102" s="36">
        <f t="shared" si="15"/>
        <v>0.16666666666666666</v>
      </c>
      <c r="W102" s="36">
        <f t="shared" si="15"/>
        <v>0.4</v>
      </c>
      <c r="X102" s="36">
        <f t="shared" si="15"/>
        <v>0.5</v>
      </c>
      <c r="Y102" s="36">
        <f t="shared" si="15"/>
        <v>8.3333333333333329E-2</v>
      </c>
      <c r="Z102" s="36">
        <f t="shared" si="15"/>
        <v>0.25</v>
      </c>
      <c r="AA102" s="36">
        <f t="shared" si="15"/>
        <v>0.16666666666666666</v>
      </c>
      <c r="AB102" s="36">
        <f t="shared" si="15"/>
        <v>0.125</v>
      </c>
      <c r="AC102" s="36">
        <f t="shared" si="15"/>
        <v>0.15</v>
      </c>
      <c r="AD102" s="36">
        <f t="shared" ref="AD102" si="16">AD101/AD100</f>
        <v>0.1</v>
      </c>
      <c r="AE102" s="36">
        <f>$AE101/$AE100</f>
        <v>0.5</v>
      </c>
      <c r="AF102" s="36">
        <f>$AF101/$AF100</f>
        <v>0.25</v>
      </c>
      <c r="AG102" s="36">
        <f>$AG101/$AG100</f>
        <v>2.5</v>
      </c>
      <c r="AH102" s="36">
        <f>$AH101/$AH100</f>
        <v>2</v>
      </c>
      <c r="AI102" s="36">
        <v>0.22222222222222199</v>
      </c>
      <c r="AJ102" s="36">
        <v>0.66666666666666696</v>
      </c>
      <c r="AK102" s="36">
        <v>0.2</v>
      </c>
      <c r="AL102" s="36">
        <v>1.6666666666666667</v>
      </c>
      <c r="AM102" s="36">
        <v>0.33333333333333331</v>
      </c>
      <c r="AN102" s="36">
        <v>0.25</v>
      </c>
      <c r="AO102" s="36">
        <v>0.16666666666666666</v>
      </c>
      <c r="AP102" s="36">
        <v>0.14285714285714285</v>
      </c>
      <c r="AQ102" s="36">
        <v>0.16666666666666666</v>
      </c>
      <c r="AR102" s="36">
        <v>0.5</v>
      </c>
      <c r="AS102" s="36">
        <v>0.2857142857142857</v>
      </c>
      <c r="AT102" s="36">
        <v>3.5</v>
      </c>
      <c r="AU102" s="36">
        <v>0.6</v>
      </c>
      <c r="AV102" s="36">
        <v>0.25</v>
      </c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</row>
    <row r="103" spans="2:77">
      <c r="E103" s="3"/>
      <c r="R103" s="1" t="str">
        <f>C3</f>
        <v>ขึ้นฉ่าย</v>
      </c>
      <c r="S103" s="2" t="s">
        <v>116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1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1</v>
      </c>
      <c r="AP103">
        <v>1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</row>
    <row r="104" spans="2:77">
      <c r="E104" s="3"/>
      <c r="H104" s="2"/>
      <c r="I104" s="2"/>
      <c r="K104" s="2"/>
      <c r="O104" s="2"/>
      <c r="P104" s="2"/>
      <c r="R104" s="2" t="str">
        <f t="shared" ref="R104:R120" si="17">C4</f>
        <v>ต้นหอม</v>
      </c>
      <c r="S104" s="2" t="s">
        <v>116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0</v>
      </c>
      <c r="AE104">
        <v>0</v>
      </c>
      <c r="AF104">
        <v>1</v>
      </c>
      <c r="AG104">
        <v>0</v>
      </c>
      <c r="AH104">
        <v>0</v>
      </c>
      <c r="AI104">
        <v>0</v>
      </c>
      <c r="AJ104">
        <v>1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</row>
    <row r="105" spans="2:77">
      <c r="E105" s="3"/>
      <c r="H105" s="2"/>
      <c r="I105" s="2"/>
      <c r="K105" s="2"/>
      <c r="O105" s="2"/>
      <c r="P105" s="2"/>
      <c r="R105" s="2" t="str">
        <f t="shared" si="17"/>
        <v>ผักบุ้ง</v>
      </c>
      <c r="S105" s="2" t="s">
        <v>116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</row>
    <row r="106" spans="2:77">
      <c r="E106" s="3"/>
      <c r="H106" s="2"/>
      <c r="I106" s="2"/>
      <c r="K106" s="2"/>
      <c r="O106" s="2"/>
      <c r="P106" s="2"/>
      <c r="R106" s="2" t="str">
        <f t="shared" si="17"/>
        <v>ผักกวางตุ้ง</v>
      </c>
      <c r="S106" s="2" t="s">
        <v>116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</row>
    <row r="107" spans="2:77">
      <c r="E107" s="3"/>
      <c r="H107" s="2"/>
      <c r="I107" s="2"/>
      <c r="K107" s="2"/>
      <c r="O107" s="2"/>
      <c r="P107" s="2"/>
      <c r="R107" s="2" t="str">
        <f t="shared" si="17"/>
        <v>ผักชี</v>
      </c>
      <c r="S107" s="2" t="s">
        <v>116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1</v>
      </c>
      <c r="AA107">
        <v>1</v>
      </c>
      <c r="AB107">
        <v>0</v>
      </c>
      <c r="AC107">
        <v>1</v>
      </c>
      <c r="AD107">
        <v>0</v>
      </c>
      <c r="AE107">
        <v>0</v>
      </c>
      <c r="AF107">
        <v>1</v>
      </c>
      <c r="AG107">
        <v>0</v>
      </c>
      <c r="AH107">
        <v>0</v>
      </c>
      <c r="AI107">
        <v>0</v>
      </c>
      <c r="AJ107">
        <v>0</v>
      </c>
      <c r="AK107">
        <v>1</v>
      </c>
      <c r="AL107">
        <v>0</v>
      </c>
      <c r="AM107">
        <v>0</v>
      </c>
      <c r="AN107">
        <v>0</v>
      </c>
      <c r="AO107">
        <v>0</v>
      </c>
      <c r="AP107">
        <v>1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</row>
    <row r="108" spans="2:77">
      <c r="E108" s="3"/>
      <c r="H108" s="2"/>
      <c r="I108" s="2"/>
      <c r="K108" s="2"/>
      <c r="O108" s="2"/>
      <c r="P108" s="2"/>
      <c r="R108" s="2" t="str">
        <f t="shared" si="17"/>
        <v>ใบกระเพรา</v>
      </c>
      <c r="S108" s="2" t="s">
        <v>116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</row>
    <row r="109" spans="2:77">
      <c r="E109" s="3"/>
      <c r="H109" s="2"/>
      <c r="I109" s="2"/>
      <c r="K109" s="2"/>
      <c r="O109" s="2"/>
      <c r="P109" s="2"/>
      <c r="R109" s="2" t="str">
        <f t="shared" si="17"/>
        <v>ใบโหระพา</v>
      </c>
      <c r="S109" s="2" t="s">
        <v>116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</row>
    <row r="110" spans="2:77">
      <c r="E110" s="3"/>
      <c r="H110" s="2"/>
      <c r="I110" s="2"/>
      <c r="K110" s="2"/>
      <c r="O110" s="2"/>
      <c r="P110" s="2"/>
      <c r="R110" s="2" t="str">
        <f t="shared" si="17"/>
        <v>ตะไคร้</v>
      </c>
      <c r="S110" s="2" t="s">
        <v>116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</row>
    <row r="111" spans="2:77">
      <c r="E111" s="3"/>
      <c r="H111" s="2"/>
      <c r="I111" s="2"/>
      <c r="K111" s="2"/>
      <c r="O111" s="2"/>
      <c r="P111" s="2"/>
      <c r="R111" s="2" t="str">
        <f t="shared" si="17"/>
        <v>ถั่วฝักยาว</v>
      </c>
      <c r="S111" s="2" t="s">
        <v>116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</row>
    <row r="112" spans="2:77">
      <c r="E112" s="3"/>
      <c r="H112" s="2"/>
      <c r="I112" s="2"/>
      <c r="K112" s="2"/>
      <c r="O112" s="2"/>
      <c r="P112" s="2"/>
      <c r="R112" s="2" t="str">
        <f t="shared" si="17"/>
        <v>มะเขือเปราะ</v>
      </c>
      <c r="S112" s="2" t="s">
        <v>116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</row>
    <row r="113" spans="5:48">
      <c r="E113" s="3"/>
      <c r="H113" s="2"/>
      <c r="I113" s="2"/>
      <c r="K113" s="2"/>
      <c r="O113" s="2"/>
      <c r="P113" s="2"/>
      <c r="R113" s="2" t="str">
        <f t="shared" si="17"/>
        <v>กระเจี๊ยบเขียว</v>
      </c>
      <c r="S113" s="2" t="s">
        <v>116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</row>
    <row r="114" spans="5:48">
      <c r="E114" s="3"/>
      <c r="H114" s="2"/>
      <c r="I114" s="2"/>
      <c r="K114" s="2"/>
      <c r="O114" s="2"/>
      <c r="P114" s="2"/>
      <c r="R114" s="2" t="str">
        <f t="shared" si="17"/>
        <v>ใบมะกูด</v>
      </c>
      <c r="S114" s="2" t="s">
        <v>116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</row>
    <row r="115" spans="5:48">
      <c r="E115" s="3"/>
      <c r="H115" s="2"/>
      <c r="I115" s="2"/>
      <c r="K115" s="2"/>
      <c r="O115" s="2"/>
      <c r="P115" s="2"/>
      <c r="R115" s="2" t="str">
        <f t="shared" si="17"/>
        <v>ผักกาดหอม</v>
      </c>
      <c r="S115" s="2" t="s">
        <v>116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</row>
    <row r="116" spans="5:48">
      <c r="E116" s="3"/>
      <c r="H116" s="2"/>
      <c r="I116" s="2"/>
      <c r="K116" s="2"/>
      <c r="O116" s="2"/>
      <c r="P116" s="2"/>
      <c r="R116" s="2" t="str">
        <f t="shared" si="17"/>
        <v>ใบเตย</v>
      </c>
      <c r="S116" s="2" t="s">
        <v>116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</row>
    <row r="117" spans="5:48">
      <c r="E117" s="3"/>
      <c r="H117" s="2"/>
      <c r="I117" s="2"/>
      <c r="K117" s="2"/>
      <c r="O117" s="2"/>
      <c r="P117" s="2"/>
      <c r="R117" s="2" t="str">
        <f t="shared" si="17"/>
        <v>มะนาว</v>
      </c>
      <c r="S117" s="2" t="s">
        <v>116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</row>
    <row r="118" spans="5:48">
      <c r="E118" s="3"/>
      <c r="H118" s="2"/>
      <c r="I118" s="2"/>
      <c r="K118" s="2"/>
      <c r="O118" s="2"/>
      <c r="P118" s="2"/>
      <c r="R118" s="2" t="str">
        <f t="shared" si="17"/>
        <v>กรีนโอ๊ค</v>
      </c>
      <c r="S118" s="2" t="s">
        <v>116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</row>
    <row r="119" spans="5:48">
      <c r="E119" s="3"/>
      <c r="H119" s="2"/>
      <c r="I119" s="2"/>
      <c r="K119" s="2"/>
      <c r="O119" s="2"/>
      <c r="P119" s="2"/>
      <c r="R119" s="2" t="str">
        <f t="shared" si="17"/>
        <v>เร็ดโอ๊ค</v>
      </c>
      <c r="S119" s="2" t="s">
        <v>116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</row>
    <row r="120" spans="5:48">
      <c r="E120" s="3"/>
      <c r="H120" s="2"/>
      <c r="I120" s="2"/>
      <c r="K120" s="2"/>
      <c r="O120" s="2"/>
      <c r="P120" s="2"/>
      <c r="R120" s="2" t="str">
        <f t="shared" si="17"/>
        <v>กรีนคอส</v>
      </c>
      <c r="S120" s="2" t="s">
        <v>116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</row>
    <row r="121" spans="5:48">
      <c r="E121" s="3"/>
      <c r="H121" s="2"/>
      <c r="I121" s="2"/>
      <c r="K121" s="2"/>
      <c r="O121" s="2"/>
      <c r="P121" s="2"/>
      <c r="R121" s="2"/>
    </row>
    <row r="122" spans="5:48">
      <c r="E122" s="3"/>
      <c r="H122" s="2"/>
      <c r="I122" s="2"/>
      <c r="K122" s="2"/>
      <c r="O122" s="2"/>
      <c r="P122" s="2"/>
      <c r="R122" s="2"/>
    </row>
    <row r="123" spans="5:48">
      <c r="E123" s="3"/>
      <c r="H123" s="2"/>
      <c r="I123" s="2"/>
      <c r="K123" s="2"/>
      <c r="O123" s="2"/>
      <c r="P123" s="2"/>
      <c r="R123" s="2"/>
    </row>
    <row r="124" spans="5:48">
      <c r="E124" s="3"/>
      <c r="H124" s="2"/>
      <c r="I124" s="2"/>
      <c r="K124" s="2"/>
      <c r="O124" s="2"/>
      <c r="P124" s="2"/>
      <c r="R124" s="2"/>
    </row>
    <row r="125" spans="5:48">
      <c r="E125" s="3"/>
      <c r="H125" s="2"/>
      <c r="I125" s="2"/>
      <c r="K125" s="2"/>
      <c r="O125" s="2"/>
      <c r="P125" s="2"/>
      <c r="R125" s="2"/>
    </row>
    <row r="126" spans="5:48">
      <c r="E126" s="3"/>
      <c r="H126" s="2"/>
      <c r="I126" s="2"/>
      <c r="K126" s="2"/>
      <c r="O126" s="2"/>
      <c r="P126" s="2"/>
      <c r="R126" s="2"/>
    </row>
    <row r="127" spans="5:48">
      <c r="E127" s="4"/>
    </row>
  </sheetData>
  <conditionalFormatting sqref="T3:BY99">
    <cfRule type="cellIs" dxfId="2" priority="72" operator="equal">
      <formula>FALSE</formula>
    </cfRule>
    <cfRule type="cellIs" dxfId="1" priority="73" operator="equal">
      <formula>TRUE</formula>
    </cfRule>
  </conditionalFormatting>
  <conditionalFormatting sqref="R3:R99">
    <cfRule type="cellIs" dxfId="0" priority="69" operator="lessThan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1:AE152"/>
  <sheetViews>
    <sheetView showGridLines="0" zoomScale="115" zoomScaleNormal="115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V11" sqref="V11"/>
    </sheetView>
  </sheetViews>
  <sheetFormatPr defaultRowHeight="14.4"/>
  <cols>
    <col min="1" max="1" width="12" bestFit="1" customWidth="1"/>
    <col min="3" max="3" width="10.5546875" bestFit="1" customWidth="1"/>
    <col min="4" max="4" width="16.77734375" style="2" bestFit="1" customWidth="1"/>
    <col min="5" max="6" width="10.88671875" bestFit="1" customWidth="1"/>
    <col min="7" max="7" width="9.44140625" bestFit="1" customWidth="1"/>
    <col min="8" max="9" width="5.109375" bestFit="1" customWidth="1"/>
    <col min="10" max="12" width="4.6640625" bestFit="1" customWidth="1"/>
    <col min="13" max="14" width="4.5546875" bestFit="1" customWidth="1"/>
    <col min="15" max="15" width="5" customWidth="1"/>
    <col min="16" max="17" width="4.5546875" bestFit="1" customWidth="1"/>
    <col min="18" max="18" width="4.5546875" customWidth="1"/>
    <col min="19" max="30" width="3.88671875" customWidth="1"/>
  </cols>
  <sheetData>
    <row r="1" spans="1:31">
      <c r="A1" s="15" t="s">
        <v>7</v>
      </c>
      <c r="B1" s="15" t="s">
        <v>2</v>
      </c>
      <c r="C1" s="15" t="s">
        <v>6</v>
      </c>
      <c r="D1" s="15" t="s">
        <v>5</v>
      </c>
      <c r="E1" s="15" t="s">
        <v>26</v>
      </c>
      <c r="F1" s="15" t="s">
        <v>4</v>
      </c>
      <c r="G1" s="15" t="s">
        <v>27</v>
      </c>
      <c r="N1" s="9"/>
      <c r="O1" t="s">
        <v>34</v>
      </c>
    </row>
    <row r="2" spans="1:31">
      <c r="A2" s="16" t="str">
        <f>main!C4</f>
        <v>ต้นหอม</v>
      </c>
      <c r="B2" s="66">
        <f>main!D4</f>
        <v>1849</v>
      </c>
      <c r="C2" s="16">
        <f>main!E4</f>
        <v>500</v>
      </c>
      <c r="D2" s="21">
        <f>main!F4</f>
        <v>0.27041644131963222</v>
      </c>
      <c r="E2" s="16">
        <f>main!H4</f>
        <v>42</v>
      </c>
      <c r="F2" s="16">
        <f>main!I4</f>
        <v>6</v>
      </c>
      <c r="G2" s="16">
        <f>main!J4</f>
        <v>7</v>
      </c>
      <c r="N2" s="11">
        <v>1</v>
      </c>
      <c r="O2" t="s">
        <v>35</v>
      </c>
    </row>
    <row r="3" spans="1:31">
      <c r="A3">
        <f>main!B4</f>
        <v>2</v>
      </c>
      <c r="D3"/>
      <c r="H3">
        <v>12</v>
      </c>
      <c r="I3">
        <v>12</v>
      </c>
      <c r="J3">
        <v>12</v>
      </c>
      <c r="K3">
        <v>12</v>
      </c>
      <c r="L3">
        <v>12</v>
      </c>
      <c r="M3">
        <v>11</v>
      </c>
      <c r="N3">
        <v>12</v>
      </c>
      <c r="O3">
        <v>12</v>
      </c>
      <c r="P3">
        <v>12</v>
      </c>
      <c r="Q3">
        <v>12</v>
      </c>
      <c r="R3">
        <v>11</v>
      </c>
    </row>
    <row r="4" spans="1:31" ht="115.8" customHeight="1">
      <c r="B4" s="12"/>
      <c r="C4" s="12"/>
      <c r="D4" s="14"/>
      <c r="E4" s="12"/>
      <c r="F4" s="12"/>
      <c r="G4" s="13" t="s">
        <v>1</v>
      </c>
      <c r="H4" s="13" t="s">
        <v>58</v>
      </c>
      <c r="I4" s="13" t="s">
        <v>74</v>
      </c>
      <c r="J4" s="13" t="s">
        <v>79</v>
      </c>
      <c r="K4" s="13" t="s">
        <v>83</v>
      </c>
      <c r="L4" s="13" t="s">
        <v>89</v>
      </c>
      <c r="M4" s="13" t="s">
        <v>106</v>
      </c>
      <c r="N4" s="13" t="s">
        <v>127</v>
      </c>
      <c r="O4" s="13" t="s">
        <v>127</v>
      </c>
      <c r="P4" s="13" t="s">
        <v>127</v>
      </c>
      <c r="Q4" s="13" t="s">
        <v>127</v>
      </c>
      <c r="R4" s="13" t="s">
        <v>157</v>
      </c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1">
      <c r="B5" s="17"/>
      <c r="C5" s="17"/>
      <c r="D5" s="18" t="s">
        <v>30</v>
      </c>
      <c r="E5" s="20">
        <v>44501</v>
      </c>
      <c r="F5" s="17"/>
      <c r="G5" s="18" t="s">
        <v>28</v>
      </c>
      <c r="H5" s="18">
        <v>308.16666666666663</v>
      </c>
      <c r="I5" s="18">
        <v>462.25</v>
      </c>
      <c r="J5" s="18">
        <v>308.16666666666663</v>
      </c>
      <c r="K5" s="18">
        <v>231.125</v>
      </c>
      <c r="L5" s="18">
        <v>277.34999999999997</v>
      </c>
      <c r="M5" s="18">
        <v>462.25</v>
      </c>
      <c r="N5" s="18">
        <v>500</v>
      </c>
      <c r="O5" s="18">
        <v>500</v>
      </c>
      <c r="P5" s="18">
        <v>500</v>
      </c>
      <c r="Q5" s="18">
        <v>233</v>
      </c>
      <c r="R5" s="17">
        <v>264.14285714285711</v>
      </c>
      <c r="S5" s="17"/>
      <c r="T5" s="17"/>
      <c r="U5" s="17"/>
      <c r="V5" s="18"/>
      <c r="W5" s="18"/>
      <c r="X5" s="18"/>
      <c r="Y5" s="18"/>
      <c r="Z5" s="18"/>
      <c r="AA5" s="17"/>
      <c r="AB5" s="17"/>
      <c r="AC5" s="17"/>
      <c r="AD5" s="17"/>
    </row>
    <row r="6" spans="1:31">
      <c r="B6" s="19" t="s">
        <v>31</v>
      </c>
      <c r="C6" s="19" t="s">
        <v>32</v>
      </c>
      <c r="D6" s="61" t="s">
        <v>33</v>
      </c>
      <c r="E6" s="107" t="s">
        <v>29</v>
      </c>
      <c r="F6" s="108"/>
      <c r="G6" s="61" t="s">
        <v>120</v>
      </c>
      <c r="H6" s="67">
        <v>0.16666666666666666</v>
      </c>
      <c r="I6" s="67">
        <v>0.25</v>
      </c>
      <c r="J6" s="67">
        <v>0.16666666666666666</v>
      </c>
      <c r="K6" s="67">
        <v>0.125</v>
      </c>
      <c r="L6" s="67">
        <v>0.15</v>
      </c>
      <c r="M6" s="67">
        <v>0.25</v>
      </c>
      <c r="N6" s="67">
        <v>0.27041644131963222</v>
      </c>
      <c r="O6" s="67">
        <v>0.27041644131963222</v>
      </c>
      <c r="P6" s="67">
        <v>0.27041644131963222</v>
      </c>
      <c r="Q6" s="67">
        <v>0.27041644131963222</v>
      </c>
      <c r="R6" s="68">
        <v>0.14285714285714285</v>
      </c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</row>
    <row r="7" spans="1:31">
      <c r="B7" s="7">
        <f>YEAR(E7)</f>
        <v>2021</v>
      </c>
      <c r="C7" s="7">
        <f>MONTH(E7)</f>
        <v>11</v>
      </c>
      <c r="D7" s="7">
        <f>DAY(E7)</f>
        <v>1</v>
      </c>
      <c r="E7" s="8">
        <f>E5</f>
        <v>44501</v>
      </c>
      <c r="F7" s="8">
        <f>E7+6</f>
        <v>44507</v>
      </c>
      <c r="G7" s="7">
        <f>WEEKNUM(E7,1)</f>
        <v>45</v>
      </c>
      <c r="H7" s="10">
        <v>-25</v>
      </c>
      <c r="I7" s="10">
        <v>-50</v>
      </c>
      <c r="J7" s="10">
        <v>-25</v>
      </c>
      <c r="K7" s="10">
        <v>-25</v>
      </c>
      <c r="L7" s="10">
        <v>-25</v>
      </c>
      <c r="M7" s="85" t="s">
        <v>165</v>
      </c>
      <c r="N7" s="10">
        <v>-50</v>
      </c>
      <c r="O7" s="10">
        <v>-50</v>
      </c>
      <c r="P7" s="10">
        <v>-50</v>
      </c>
      <c r="Q7" s="10">
        <v>-50</v>
      </c>
      <c r="R7" s="10">
        <v>-25</v>
      </c>
      <c r="S7" s="6"/>
      <c r="T7" s="6"/>
      <c r="U7" s="6"/>
      <c r="V7" s="10"/>
      <c r="W7" s="10"/>
      <c r="X7" s="10"/>
      <c r="Y7" s="10"/>
      <c r="Z7" s="10"/>
      <c r="AA7" s="6"/>
      <c r="AB7" s="6"/>
      <c r="AC7" s="6"/>
      <c r="AD7" s="6"/>
      <c r="AE7">
        <f>COUNTIF(H7:AD7,1)</f>
        <v>0</v>
      </c>
    </row>
    <row r="8" spans="1:31">
      <c r="B8" s="7">
        <f t="shared" ref="B8:B58" si="0">YEAR(E8)</f>
        <v>2021</v>
      </c>
      <c r="C8" s="7">
        <f t="shared" ref="C8:C58" si="1">MONTH(E8)</f>
        <v>11</v>
      </c>
      <c r="D8" s="7">
        <f t="shared" ref="D8:D58" si="2">DAY(E8)</f>
        <v>8</v>
      </c>
      <c r="E8" s="8">
        <f>E7+7</f>
        <v>44508</v>
      </c>
      <c r="F8" s="8">
        <f>E8+6</f>
        <v>44514</v>
      </c>
      <c r="G8" s="7">
        <f t="shared" ref="G8:G58" si="3">WEEKNUM(E8,1)</f>
        <v>46</v>
      </c>
      <c r="H8" s="10"/>
      <c r="I8" s="10"/>
      <c r="J8" s="10"/>
      <c r="K8" s="10"/>
      <c r="L8" s="10"/>
      <c r="M8" s="84"/>
      <c r="N8" s="6"/>
      <c r="O8" s="6"/>
      <c r="P8" s="6"/>
      <c r="Q8" s="6"/>
      <c r="R8" s="85" t="s">
        <v>166</v>
      </c>
      <c r="S8" s="6"/>
      <c r="T8" s="6"/>
      <c r="U8" s="6"/>
      <c r="V8" s="10"/>
      <c r="W8" s="10"/>
      <c r="X8" s="10"/>
      <c r="Y8" s="10"/>
      <c r="Z8" s="10"/>
      <c r="AA8" s="6"/>
      <c r="AB8" s="6"/>
      <c r="AC8" s="6"/>
      <c r="AD8" s="6"/>
      <c r="AE8">
        <f t="shared" ref="AE8:AE26" si="4">COUNTIF(H8:AD8,1)</f>
        <v>0</v>
      </c>
    </row>
    <row r="9" spans="1:31">
      <c r="B9" s="7">
        <f t="shared" si="0"/>
        <v>2021</v>
      </c>
      <c r="C9" s="7">
        <f t="shared" si="1"/>
        <v>11</v>
      </c>
      <c r="D9" s="7">
        <f t="shared" si="2"/>
        <v>15</v>
      </c>
      <c r="E9" s="8">
        <f t="shared" ref="E9:E58" si="5">E8+7</f>
        <v>44515</v>
      </c>
      <c r="F9" s="8">
        <f t="shared" ref="F9:F58" si="6">E9+6</f>
        <v>44521</v>
      </c>
      <c r="G9" s="7">
        <f t="shared" si="3"/>
        <v>47</v>
      </c>
      <c r="H9" s="85" t="s">
        <v>167</v>
      </c>
      <c r="I9" s="10"/>
      <c r="J9" s="10"/>
      <c r="K9" s="10"/>
      <c r="L9" s="10"/>
      <c r="M9" s="84"/>
      <c r="N9" s="10"/>
      <c r="O9" s="10"/>
      <c r="P9" s="10"/>
      <c r="Q9" s="10"/>
      <c r="R9" s="84"/>
      <c r="S9" s="6"/>
      <c r="T9" s="6"/>
      <c r="U9" s="6"/>
      <c r="V9" s="10"/>
      <c r="W9" s="10"/>
      <c r="X9" s="10"/>
      <c r="Y9" s="10"/>
      <c r="Z9" s="10"/>
      <c r="AA9" s="6"/>
      <c r="AB9" s="6"/>
      <c r="AC9" s="6"/>
      <c r="AD9" s="6"/>
      <c r="AE9">
        <f t="shared" si="4"/>
        <v>0</v>
      </c>
    </row>
    <row r="10" spans="1:31">
      <c r="B10" s="7">
        <f t="shared" si="0"/>
        <v>2021</v>
      </c>
      <c r="C10" s="7">
        <f t="shared" si="1"/>
        <v>11</v>
      </c>
      <c r="D10" s="7">
        <f t="shared" si="2"/>
        <v>22</v>
      </c>
      <c r="E10" s="8">
        <f t="shared" si="5"/>
        <v>44522</v>
      </c>
      <c r="F10" s="8">
        <f t="shared" si="6"/>
        <v>44528</v>
      </c>
      <c r="G10" s="7">
        <f t="shared" si="3"/>
        <v>48</v>
      </c>
      <c r="H10" s="84"/>
      <c r="I10" s="10"/>
      <c r="J10" s="10"/>
      <c r="K10" s="10"/>
      <c r="L10" s="10"/>
      <c r="M10" s="84"/>
      <c r="N10" s="10"/>
      <c r="O10" s="10"/>
      <c r="P10" s="10"/>
      <c r="Q10" s="10"/>
      <c r="R10" s="84"/>
      <c r="S10" s="6"/>
      <c r="T10" s="6"/>
      <c r="U10" s="6"/>
      <c r="V10" s="10"/>
      <c r="W10" s="10"/>
      <c r="X10" s="10"/>
      <c r="Y10" s="10"/>
      <c r="Z10" s="10"/>
      <c r="AA10" s="6"/>
      <c r="AB10" s="6"/>
      <c r="AC10" s="6"/>
      <c r="AD10" s="6"/>
      <c r="AE10">
        <f t="shared" si="4"/>
        <v>0</v>
      </c>
    </row>
    <row r="11" spans="1:31">
      <c r="B11" s="7">
        <f t="shared" si="0"/>
        <v>2021</v>
      </c>
      <c r="C11" s="7">
        <f t="shared" si="1"/>
        <v>11</v>
      </c>
      <c r="D11" s="7">
        <f t="shared" si="2"/>
        <v>29</v>
      </c>
      <c r="E11" s="8">
        <f t="shared" si="5"/>
        <v>44529</v>
      </c>
      <c r="F11" s="8">
        <f t="shared" si="6"/>
        <v>44535</v>
      </c>
      <c r="G11" s="7">
        <f t="shared" si="3"/>
        <v>49</v>
      </c>
      <c r="H11" s="84"/>
      <c r="I11" s="10"/>
      <c r="J11" s="10"/>
      <c r="K11" s="10"/>
      <c r="L11" s="10"/>
      <c r="M11" s="84"/>
      <c r="N11" s="10"/>
      <c r="O11" s="10"/>
      <c r="P11" s="10"/>
      <c r="Q11" s="10"/>
      <c r="R11" s="84"/>
      <c r="S11" s="6"/>
      <c r="T11" s="6"/>
      <c r="U11" s="6"/>
      <c r="V11" s="10"/>
      <c r="W11" s="10"/>
      <c r="X11" s="10"/>
      <c r="Y11" s="10"/>
      <c r="Z11" s="10"/>
      <c r="AA11" s="6"/>
      <c r="AB11" s="6"/>
      <c r="AC11" s="6"/>
      <c r="AD11" s="6"/>
      <c r="AE11">
        <f t="shared" si="4"/>
        <v>0</v>
      </c>
    </row>
    <row r="12" spans="1:31">
      <c r="B12" s="7">
        <f t="shared" si="0"/>
        <v>2021</v>
      </c>
      <c r="C12" s="7">
        <f t="shared" si="1"/>
        <v>12</v>
      </c>
      <c r="D12" s="7">
        <f t="shared" si="2"/>
        <v>6</v>
      </c>
      <c r="E12" s="8">
        <f t="shared" si="5"/>
        <v>44536</v>
      </c>
      <c r="F12" s="8">
        <f t="shared" si="6"/>
        <v>44542</v>
      </c>
      <c r="G12" s="7">
        <f t="shared" si="3"/>
        <v>50</v>
      </c>
      <c r="H12" s="84"/>
      <c r="I12" s="85" t="s">
        <v>167</v>
      </c>
      <c r="J12" s="85" t="s">
        <v>167</v>
      </c>
      <c r="K12" s="85" t="s">
        <v>167</v>
      </c>
      <c r="L12" s="85" t="s">
        <v>167</v>
      </c>
      <c r="M12" s="84"/>
      <c r="N12" s="85" t="s">
        <v>167</v>
      </c>
      <c r="O12" s="85" t="s">
        <v>167</v>
      </c>
      <c r="P12" s="85" t="s">
        <v>167</v>
      </c>
      <c r="Q12" s="85" t="s">
        <v>167</v>
      </c>
      <c r="R12" s="84"/>
      <c r="S12" s="6"/>
      <c r="T12" s="6"/>
      <c r="U12" s="6"/>
      <c r="V12" s="10"/>
      <c r="W12" s="10"/>
      <c r="X12" s="10"/>
      <c r="Y12" s="10"/>
      <c r="Z12" s="10"/>
      <c r="AA12" s="6"/>
      <c r="AB12" s="6"/>
      <c r="AC12" s="6"/>
      <c r="AD12" s="6"/>
      <c r="AE12">
        <f t="shared" si="4"/>
        <v>0</v>
      </c>
    </row>
    <row r="13" spans="1:31">
      <c r="B13" s="7">
        <f t="shared" si="0"/>
        <v>2021</v>
      </c>
      <c r="C13" s="7">
        <f t="shared" si="1"/>
        <v>12</v>
      </c>
      <c r="D13" s="7">
        <f t="shared" si="2"/>
        <v>13</v>
      </c>
      <c r="E13" s="8">
        <f t="shared" si="5"/>
        <v>44543</v>
      </c>
      <c r="F13" s="8">
        <f t="shared" si="6"/>
        <v>44549</v>
      </c>
      <c r="G13" s="7">
        <f t="shared" si="3"/>
        <v>51</v>
      </c>
      <c r="H13" s="84"/>
      <c r="I13" s="84"/>
      <c r="J13" s="84"/>
      <c r="K13" s="84"/>
      <c r="L13" s="84"/>
      <c r="M13" s="11">
        <v>1</v>
      </c>
      <c r="N13" s="84"/>
      <c r="O13" s="84"/>
      <c r="P13" s="84"/>
      <c r="Q13" s="84"/>
      <c r="R13" s="84"/>
      <c r="S13" s="6"/>
      <c r="T13" s="6"/>
      <c r="U13" s="6"/>
      <c r="V13" s="10"/>
      <c r="W13" s="10"/>
      <c r="X13" s="10"/>
      <c r="Y13" s="10"/>
      <c r="Z13" s="10"/>
      <c r="AA13" s="6"/>
      <c r="AB13" s="6"/>
      <c r="AC13" s="6"/>
      <c r="AD13" s="6"/>
      <c r="AE13">
        <f t="shared" si="4"/>
        <v>1</v>
      </c>
    </row>
    <row r="14" spans="1:31">
      <c r="B14" s="7">
        <f t="shared" si="0"/>
        <v>2021</v>
      </c>
      <c r="C14" s="7">
        <f t="shared" si="1"/>
        <v>12</v>
      </c>
      <c r="D14" s="7">
        <f t="shared" si="2"/>
        <v>20</v>
      </c>
      <c r="E14" s="8">
        <f t="shared" si="5"/>
        <v>44550</v>
      </c>
      <c r="F14" s="8">
        <f t="shared" si="6"/>
        <v>44556</v>
      </c>
      <c r="G14" s="7">
        <f t="shared" si="3"/>
        <v>52</v>
      </c>
      <c r="H14" s="84"/>
      <c r="I14" s="84"/>
      <c r="J14" s="84"/>
      <c r="K14" s="84"/>
      <c r="L14" s="84"/>
      <c r="M14" s="85" t="s">
        <v>165</v>
      </c>
      <c r="N14" s="84"/>
      <c r="O14" s="84"/>
      <c r="P14" s="84"/>
      <c r="Q14" s="84"/>
      <c r="R14" s="11">
        <v>1</v>
      </c>
      <c r="S14" s="6"/>
      <c r="T14" s="6"/>
      <c r="U14" s="6"/>
      <c r="V14" s="10"/>
      <c r="W14" s="10"/>
      <c r="X14" s="10"/>
      <c r="Y14" s="10"/>
      <c r="Z14" s="10"/>
      <c r="AA14" s="6"/>
      <c r="AB14" s="6"/>
      <c r="AC14" s="6"/>
      <c r="AD14" s="6"/>
      <c r="AE14">
        <f t="shared" si="4"/>
        <v>1</v>
      </c>
    </row>
    <row r="15" spans="1:31">
      <c r="B15" s="7">
        <f t="shared" si="0"/>
        <v>2021</v>
      </c>
      <c r="C15" s="7">
        <f t="shared" si="1"/>
        <v>12</v>
      </c>
      <c r="D15" s="7">
        <f t="shared" si="2"/>
        <v>27</v>
      </c>
      <c r="E15" s="8">
        <f t="shared" si="5"/>
        <v>44557</v>
      </c>
      <c r="F15" s="8">
        <f t="shared" si="6"/>
        <v>44563</v>
      </c>
      <c r="G15" s="7">
        <f t="shared" si="3"/>
        <v>53</v>
      </c>
      <c r="H15" s="11">
        <v>1</v>
      </c>
      <c r="I15" s="84"/>
      <c r="J15" s="84"/>
      <c r="K15" s="84"/>
      <c r="L15" s="84"/>
      <c r="M15" s="84"/>
      <c r="N15" s="84"/>
      <c r="O15" s="84"/>
      <c r="P15" s="84"/>
      <c r="Q15" s="84"/>
      <c r="R15" s="85" t="s">
        <v>166</v>
      </c>
      <c r="S15" s="6"/>
      <c r="T15" s="6"/>
      <c r="U15" s="6"/>
      <c r="V15" s="10"/>
      <c r="W15" s="10"/>
      <c r="X15" s="10"/>
      <c r="Y15" s="10"/>
      <c r="Z15" s="10"/>
      <c r="AA15" s="6"/>
      <c r="AB15" s="6"/>
      <c r="AC15" s="6"/>
      <c r="AD15" s="6"/>
      <c r="AE15">
        <f t="shared" si="4"/>
        <v>1</v>
      </c>
    </row>
    <row r="16" spans="1:31">
      <c r="B16" s="7">
        <f t="shared" si="0"/>
        <v>2022</v>
      </c>
      <c r="C16" s="7">
        <f t="shared" si="1"/>
        <v>1</v>
      </c>
      <c r="D16" s="7">
        <f t="shared" si="2"/>
        <v>3</v>
      </c>
      <c r="E16" s="8">
        <f t="shared" si="5"/>
        <v>44564</v>
      </c>
      <c r="F16" s="8">
        <f t="shared" si="6"/>
        <v>44570</v>
      </c>
      <c r="G16" s="7">
        <f t="shared" si="3"/>
        <v>2</v>
      </c>
      <c r="H16" s="10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6"/>
      <c r="T16" s="6"/>
      <c r="U16" s="6"/>
      <c r="V16" s="10"/>
      <c r="W16" s="10"/>
      <c r="X16" s="10"/>
      <c r="Y16" s="10"/>
      <c r="Z16" s="10"/>
      <c r="AA16" s="6"/>
      <c r="AB16" s="6"/>
      <c r="AC16" s="6"/>
      <c r="AD16" s="6"/>
      <c r="AE16">
        <f t="shared" si="4"/>
        <v>0</v>
      </c>
    </row>
    <row r="17" spans="2:31">
      <c r="B17" s="7">
        <f t="shared" si="0"/>
        <v>2022</v>
      </c>
      <c r="C17" s="7">
        <f t="shared" si="1"/>
        <v>1</v>
      </c>
      <c r="D17" s="7">
        <f t="shared" si="2"/>
        <v>10</v>
      </c>
      <c r="E17" s="8">
        <f t="shared" si="5"/>
        <v>44571</v>
      </c>
      <c r="F17" s="8">
        <f t="shared" si="6"/>
        <v>44577</v>
      </c>
      <c r="G17" s="7">
        <f t="shared" si="3"/>
        <v>3</v>
      </c>
      <c r="H17" s="10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6"/>
      <c r="T17" s="6"/>
      <c r="U17" s="6"/>
      <c r="V17" s="10"/>
      <c r="W17" s="10"/>
      <c r="X17" s="10"/>
      <c r="Y17" s="10"/>
      <c r="Z17" s="10"/>
      <c r="AA17" s="6"/>
      <c r="AB17" s="6"/>
      <c r="AC17" s="6"/>
      <c r="AD17" s="6"/>
      <c r="AE17">
        <f t="shared" si="4"/>
        <v>0</v>
      </c>
    </row>
    <row r="18" spans="2:31">
      <c r="B18" s="7">
        <f t="shared" si="0"/>
        <v>2022</v>
      </c>
      <c r="C18" s="7">
        <f t="shared" si="1"/>
        <v>1</v>
      </c>
      <c r="D18" s="7">
        <f t="shared" si="2"/>
        <v>17</v>
      </c>
      <c r="E18" s="8">
        <f t="shared" si="5"/>
        <v>44578</v>
      </c>
      <c r="F18" s="8">
        <f t="shared" si="6"/>
        <v>44584</v>
      </c>
      <c r="G18" s="7">
        <f t="shared" si="3"/>
        <v>4</v>
      </c>
      <c r="H18" s="10"/>
      <c r="I18" s="11">
        <v>1</v>
      </c>
      <c r="J18" s="11">
        <v>1</v>
      </c>
      <c r="K18" s="11">
        <v>1</v>
      </c>
      <c r="L18" s="11">
        <v>1</v>
      </c>
      <c r="M18" s="84"/>
      <c r="N18" s="11">
        <v>1</v>
      </c>
      <c r="O18" s="11">
        <v>1</v>
      </c>
      <c r="P18" s="11">
        <v>1</v>
      </c>
      <c r="Q18" s="11">
        <v>1</v>
      </c>
      <c r="R18" s="84"/>
      <c r="S18" s="6"/>
      <c r="T18" s="6"/>
      <c r="U18" s="6"/>
      <c r="V18" s="10"/>
      <c r="W18" s="10"/>
      <c r="X18" s="10"/>
      <c r="Y18" s="10"/>
      <c r="Z18" s="10"/>
      <c r="AA18" s="6"/>
      <c r="AB18" s="6"/>
      <c r="AC18" s="6"/>
      <c r="AD18" s="6"/>
      <c r="AE18">
        <f t="shared" si="4"/>
        <v>8</v>
      </c>
    </row>
    <row r="19" spans="2:31">
      <c r="B19" s="7">
        <f t="shared" si="0"/>
        <v>2022</v>
      </c>
      <c r="C19" s="7">
        <f t="shared" si="1"/>
        <v>1</v>
      </c>
      <c r="D19" s="7">
        <f t="shared" si="2"/>
        <v>24</v>
      </c>
      <c r="E19" s="8">
        <f t="shared" si="5"/>
        <v>44585</v>
      </c>
      <c r="F19" s="8">
        <f t="shared" si="6"/>
        <v>44591</v>
      </c>
      <c r="G19" s="7">
        <f t="shared" si="3"/>
        <v>5</v>
      </c>
      <c r="H19" s="10"/>
      <c r="I19" s="10"/>
      <c r="J19" s="10"/>
      <c r="K19" s="10"/>
      <c r="L19" s="10"/>
      <c r="M19" s="84"/>
      <c r="N19" s="10"/>
      <c r="O19" s="10"/>
      <c r="P19" s="10"/>
      <c r="Q19" s="10"/>
      <c r="R19" s="84"/>
      <c r="S19" s="6"/>
      <c r="T19" s="6"/>
      <c r="U19" s="6"/>
      <c r="V19" s="10"/>
      <c r="W19" s="10"/>
      <c r="X19" s="10"/>
      <c r="Y19" s="10"/>
      <c r="Z19" s="10"/>
      <c r="AA19" s="6"/>
      <c r="AB19" s="6"/>
      <c r="AC19" s="6"/>
      <c r="AD19" s="6"/>
      <c r="AE19">
        <f t="shared" si="4"/>
        <v>0</v>
      </c>
    </row>
    <row r="20" spans="2:31">
      <c r="B20" s="7">
        <f t="shared" si="0"/>
        <v>2022</v>
      </c>
      <c r="C20" s="7">
        <f t="shared" si="1"/>
        <v>1</v>
      </c>
      <c r="D20" s="7">
        <f t="shared" si="2"/>
        <v>31</v>
      </c>
      <c r="E20" s="8">
        <f t="shared" si="5"/>
        <v>44592</v>
      </c>
      <c r="F20" s="8">
        <f t="shared" si="6"/>
        <v>44598</v>
      </c>
      <c r="G20" s="7">
        <f t="shared" si="3"/>
        <v>6</v>
      </c>
      <c r="H20" s="10"/>
      <c r="I20" s="10"/>
      <c r="J20" s="10"/>
      <c r="K20" s="10"/>
      <c r="L20" s="10"/>
      <c r="M20" s="11">
        <v>1</v>
      </c>
      <c r="N20" s="10"/>
      <c r="O20" s="10"/>
      <c r="P20" s="10"/>
      <c r="Q20" s="10"/>
      <c r="R20" s="84"/>
      <c r="S20" s="6"/>
      <c r="T20" s="6"/>
      <c r="U20" s="6"/>
      <c r="V20" s="10"/>
      <c r="W20" s="10"/>
      <c r="X20" s="10"/>
      <c r="Y20" s="10"/>
      <c r="Z20" s="10"/>
      <c r="AA20" s="6"/>
      <c r="AB20" s="6"/>
      <c r="AC20" s="6"/>
      <c r="AD20" s="6"/>
      <c r="AE20">
        <f t="shared" si="4"/>
        <v>1</v>
      </c>
    </row>
    <row r="21" spans="2:31">
      <c r="B21" s="7">
        <f t="shared" si="0"/>
        <v>2022</v>
      </c>
      <c r="C21" s="7">
        <f t="shared" si="1"/>
        <v>2</v>
      </c>
      <c r="D21" s="7">
        <f t="shared" si="2"/>
        <v>7</v>
      </c>
      <c r="E21" s="8">
        <f t="shared" si="5"/>
        <v>44599</v>
      </c>
      <c r="F21" s="8">
        <f t="shared" si="6"/>
        <v>44605</v>
      </c>
      <c r="G21" s="7">
        <f t="shared" si="3"/>
        <v>7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1">
        <v>1</v>
      </c>
      <c r="S21" s="6"/>
      <c r="T21" s="6"/>
      <c r="U21" s="6"/>
      <c r="V21" s="10"/>
      <c r="W21" s="10"/>
      <c r="X21" s="10"/>
      <c r="Y21" s="10"/>
      <c r="Z21" s="10"/>
      <c r="AA21" s="6"/>
      <c r="AB21" s="6"/>
      <c r="AC21" s="6"/>
      <c r="AD21" s="6"/>
      <c r="AE21">
        <f t="shared" si="4"/>
        <v>1</v>
      </c>
    </row>
    <row r="22" spans="2:31">
      <c r="B22" s="7">
        <f t="shared" si="0"/>
        <v>2022</v>
      </c>
      <c r="C22" s="7">
        <f t="shared" si="1"/>
        <v>2</v>
      </c>
      <c r="D22" s="7">
        <f t="shared" si="2"/>
        <v>14</v>
      </c>
      <c r="E22" s="8">
        <f t="shared" si="5"/>
        <v>44606</v>
      </c>
      <c r="F22" s="8">
        <f t="shared" si="6"/>
        <v>44612</v>
      </c>
      <c r="G22" s="7">
        <f t="shared" si="3"/>
        <v>8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6"/>
      <c r="S22" s="6"/>
      <c r="T22" s="6"/>
      <c r="U22" s="6"/>
      <c r="V22" s="10"/>
      <c r="W22" s="10"/>
      <c r="X22" s="10"/>
      <c r="Y22" s="10"/>
      <c r="Z22" s="10"/>
      <c r="AA22" s="6"/>
      <c r="AB22" s="6"/>
      <c r="AC22" s="6"/>
      <c r="AD22" s="6"/>
      <c r="AE22">
        <f t="shared" si="4"/>
        <v>0</v>
      </c>
    </row>
    <row r="23" spans="2:31">
      <c r="B23" s="7">
        <f t="shared" si="0"/>
        <v>2022</v>
      </c>
      <c r="C23" s="7">
        <f t="shared" si="1"/>
        <v>2</v>
      </c>
      <c r="D23" s="7">
        <f t="shared" si="2"/>
        <v>21</v>
      </c>
      <c r="E23" s="8">
        <f t="shared" si="5"/>
        <v>44613</v>
      </c>
      <c r="F23" s="8">
        <f t="shared" si="6"/>
        <v>44619</v>
      </c>
      <c r="G23" s="7">
        <f t="shared" si="3"/>
        <v>9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6"/>
      <c r="S23" s="6"/>
      <c r="T23" s="6"/>
      <c r="U23" s="6"/>
      <c r="V23" s="10"/>
      <c r="W23" s="10"/>
      <c r="X23" s="10"/>
      <c r="Y23" s="10"/>
      <c r="Z23" s="10"/>
      <c r="AA23" s="6"/>
      <c r="AB23" s="6"/>
      <c r="AC23" s="6"/>
      <c r="AD23" s="6"/>
      <c r="AE23">
        <f t="shared" si="4"/>
        <v>0</v>
      </c>
    </row>
    <row r="24" spans="2:31">
      <c r="B24" s="7">
        <f t="shared" si="0"/>
        <v>2022</v>
      </c>
      <c r="C24" s="7">
        <f t="shared" si="1"/>
        <v>2</v>
      </c>
      <c r="D24" s="7">
        <f t="shared" si="2"/>
        <v>28</v>
      </c>
      <c r="E24" s="8">
        <f t="shared" si="5"/>
        <v>44620</v>
      </c>
      <c r="F24" s="8">
        <f t="shared" si="6"/>
        <v>44626</v>
      </c>
      <c r="G24" s="7">
        <f t="shared" si="3"/>
        <v>10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6"/>
      <c r="S24" s="6"/>
      <c r="T24" s="6"/>
      <c r="U24" s="6"/>
      <c r="V24" s="10"/>
      <c r="W24" s="10"/>
      <c r="X24" s="10"/>
      <c r="Y24" s="10"/>
      <c r="Z24" s="10"/>
      <c r="AA24" s="6"/>
      <c r="AB24" s="6"/>
      <c r="AC24" s="6"/>
      <c r="AD24" s="6"/>
      <c r="AE24">
        <f t="shared" si="4"/>
        <v>0</v>
      </c>
    </row>
    <row r="25" spans="2:31">
      <c r="B25" s="7">
        <f t="shared" si="0"/>
        <v>2022</v>
      </c>
      <c r="C25" s="7">
        <f t="shared" si="1"/>
        <v>3</v>
      </c>
      <c r="D25" s="7">
        <f t="shared" si="2"/>
        <v>7</v>
      </c>
      <c r="E25" s="8">
        <f t="shared" si="5"/>
        <v>44627</v>
      </c>
      <c r="F25" s="8">
        <f t="shared" si="6"/>
        <v>44633</v>
      </c>
      <c r="G25" s="7">
        <f t="shared" si="3"/>
        <v>11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6"/>
      <c r="S25" s="6"/>
      <c r="T25" s="6"/>
      <c r="U25" s="6"/>
      <c r="V25" s="10"/>
      <c r="W25" s="10"/>
      <c r="X25" s="10"/>
      <c r="Y25" s="10"/>
      <c r="Z25" s="10"/>
      <c r="AA25" s="6"/>
      <c r="AB25" s="6"/>
      <c r="AC25" s="6"/>
      <c r="AD25" s="6"/>
      <c r="AE25">
        <f t="shared" si="4"/>
        <v>0</v>
      </c>
    </row>
    <row r="26" spans="2:31">
      <c r="B26" s="7">
        <f t="shared" si="0"/>
        <v>2022</v>
      </c>
      <c r="C26" s="7">
        <f t="shared" si="1"/>
        <v>3</v>
      </c>
      <c r="D26" s="7">
        <f t="shared" si="2"/>
        <v>14</v>
      </c>
      <c r="E26" s="8">
        <f t="shared" si="5"/>
        <v>44634</v>
      </c>
      <c r="F26" s="8">
        <f t="shared" si="6"/>
        <v>44640</v>
      </c>
      <c r="G26" s="7">
        <f t="shared" si="3"/>
        <v>12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6"/>
      <c r="S26" s="6"/>
      <c r="T26" s="6"/>
      <c r="U26" s="6"/>
      <c r="V26" s="10"/>
      <c r="W26" s="10"/>
      <c r="X26" s="10"/>
      <c r="Y26" s="10"/>
      <c r="Z26" s="10"/>
      <c r="AA26" s="6"/>
      <c r="AB26" s="6"/>
      <c r="AC26" s="6"/>
      <c r="AD26" s="6"/>
      <c r="AE26">
        <f t="shared" si="4"/>
        <v>0</v>
      </c>
    </row>
    <row r="27" spans="2:31">
      <c r="B27" s="7">
        <f t="shared" si="0"/>
        <v>2022</v>
      </c>
      <c r="C27" s="7">
        <f t="shared" si="1"/>
        <v>3</v>
      </c>
      <c r="D27" s="7">
        <f t="shared" si="2"/>
        <v>21</v>
      </c>
      <c r="E27" s="8">
        <f t="shared" si="5"/>
        <v>44641</v>
      </c>
      <c r="F27" s="8">
        <f t="shared" si="6"/>
        <v>44647</v>
      </c>
      <c r="G27" s="7">
        <f t="shared" si="3"/>
        <v>13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6"/>
      <c r="S27" s="6"/>
      <c r="T27" s="6"/>
      <c r="U27" s="6"/>
      <c r="V27" s="10"/>
      <c r="W27" s="10"/>
      <c r="X27" s="10"/>
      <c r="Y27" s="10"/>
      <c r="Z27" s="10"/>
      <c r="AA27" s="6"/>
      <c r="AB27" s="6"/>
      <c r="AC27" s="6"/>
      <c r="AD27" s="6"/>
    </row>
    <row r="28" spans="2:31">
      <c r="B28" s="7">
        <f t="shared" si="0"/>
        <v>2022</v>
      </c>
      <c r="C28" s="7">
        <f t="shared" si="1"/>
        <v>3</v>
      </c>
      <c r="D28" s="7">
        <f t="shared" si="2"/>
        <v>28</v>
      </c>
      <c r="E28" s="8">
        <f t="shared" si="5"/>
        <v>44648</v>
      </c>
      <c r="F28" s="8">
        <f t="shared" si="6"/>
        <v>44654</v>
      </c>
      <c r="G28" s="7">
        <f t="shared" si="3"/>
        <v>14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6"/>
      <c r="S28" s="6"/>
      <c r="T28" s="6"/>
      <c r="U28" s="6"/>
      <c r="V28" s="10"/>
      <c r="W28" s="10"/>
      <c r="X28" s="10"/>
      <c r="Y28" s="10"/>
      <c r="Z28" s="10"/>
      <c r="AA28" s="6"/>
      <c r="AB28" s="6"/>
      <c r="AC28" s="6"/>
      <c r="AD28" s="6"/>
    </row>
    <row r="29" spans="2:31">
      <c r="B29" s="7">
        <f t="shared" si="0"/>
        <v>2022</v>
      </c>
      <c r="C29" s="7">
        <f t="shared" si="1"/>
        <v>4</v>
      </c>
      <c r="D29" s="7">
        <f t="shared" si="2"/>
        <v>4</v>
      </c>
      <c r="E29" s="8">
        <f t="shared" si="5"/>
        <v>44655</v>
      </c>
      <c r="F29" s="8">
        <f t="shared" si="6"/>
        <v>44661</v>
      </c>
      <c r="G29" s="7">
        <f t="shared" si="3"/>
        <v>15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6"/>
      <c r="S29" s="6"/>
      <c r="T29" s="6"/>
      <c r="U29" s="6"/>
      <c r="V29" s="10"/>
      <c r="W29" s="10"/>
      <c r="X29" s="10"/>
      <c r="Y29" s="10"/>
      <c r="Z29" s="10"/>
      <c r="AA29" s="6"/>
      <c r="AB29" s="6"/>
      <c r="AC29" s="6"/>
      <c r="AD29" s="6"/>
    </row>
    <row r="30" spans="2:31">
      <c r="B30" s="7">
        <f t="shared" si="0"/>
        <v>2022</v>
      </c>
      <c r="C30" s="7">
        <f t="shared" si="1"/>
        <v>4</v>
      </c>
      <c r="D30" s="7">
        <f t="shared" si="2"/>
        <v>11</v>
      </c>
      <c r="E30" s="8">
        <f t="shared" si="5"/>
        <v>44662</v>
      </c>
      <c r="F30" s="8">
        <f t="shared" si="6"/>
        <v>44668</v>
      </c>
      <c r="G30" s="7">
        <f t="shared" si="3"/>
        <v>16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6"/>
      <c r="S30" s="6"/>
      <c r="T30" s="6"/>
      <c r="U30" s="6"/>
      <c r="V30" s="10"/>
      <c r="W30" s="10"/>
      <c r="X30" s="10"/>
      <c r="Y30" s="10"/>
      <c r="Z30" s="10"/>
      <c r="AA30" s="6"/>
      <c r="AB30" s="6"/>
      <c r="AC30" s="6"/>
      <c r="AD30" s="6"/>
    </row>
    <row r="31" spans="2:31">
      <c r="B31" s="7">
        <f t="shared" si="0"/>
        <v>2022</v>
      </c>
      <c r="C31" s="7">
        <f t="shared" si="1"/>
        <v>4</v>
      </c>
      <c r="D31" s="7">
        <f t="shared" si="2"/>
        <v>18</v>
      </c>
      <c r="E31" s="8">
        <f t="shared" si="5"/>
        <v>44669</v>
      </c>
      <c r="F31" s="8">
        <f t="shared" si="6"/>
        <v>44675</v>
      </c>
      <c r="G31" s="7">
        <f t="shared" si="3"/>
        <v>17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6"/>
      <c r="S31" s="6"/>
      <c r="T31" s="6"/>
      <c r="U31" s="6"/>
      <c r="V31" s="10"/>
      <c r="W31" s="10"/>
      <c r="X31" s="10"/>
      <c r="Y31" s="10"/>
      <c r="Z31" s="10"/>
      <c r="AA31" s="6"/>
      <c r="AB31" s="6"/>
      <c r="AC31" s="6"/>
      <c r="AD31" s="6"/>
    </row>
    <row r="32" spans="2:31">
      <c r="B32" s="7">
        <f t="shared" si="0"/>
        <v>2022</v>
      </c>
      <c r="C32" s="7">
        <f t="shared" si="1"/>
        <v>4</v>
      </c>
      <c r="D32" s="7">
        <f t="shared" si="2"/>
        <v>25</v>
      </c>
      <c r="E32" s="8">
        <f t="shared" si="5"/>
        <v>44676</v>
      </c>
      <c r="F32" s="8">
        <f t="shared" si="6"/>
        <v>44682</v>
      </c>
      <c r="G32" s="7">
        <f t="shared" si="3"/>
        <v>18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6"/>
      <c r="S32" s="6"/>
      <c r="T32" s="6"/>
      <c r="U32" s="6"/>
      <c r="V32" s="10"/>
      <c r="W32" s="10"/>
      <c r="X32" s="10"/>
      <c r="Y32" s="10"/>
      <c r="Z32" s="10"/>
      <c r="AA32" s="6"/>
      <c r="AB32" s="6"/>
      <c r="AC32" s="6"/>
      <c r="AD32" s="6"/>
    </row>
    <row r="33" spans="2:30">
      <c r="B33" s="7">
        <f t="shared" si="0"/>
        <v>2022</v>
      </c>
      <c r="C33" s="7">
        <f t="shared" si="1"/>
        <v>5</v>
      </c>
      <c r="D33" s="7">
        <f t="shared" si="2"/>
        <v>2</v>
      </c>
      <c r="E33" s="8">
        <f t="shared" si="5"/>
        <v>44683</v>
      </c>
      <c r="F33" s="8">
        <f t="shared" si="6"/>
        <v>44689</v>
      </c>
      <c r="G33" s="7">
        <f t="shared" si="3"/>
        <v>19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6"/>
      <c r="S33" s="6"/>
      <c r="T33" s="6"/>
      <c r="U33" s="6"/>
      <c r="V33" s="10"/>
      <c r="W33" s="10"/>
      <c r="X33" s="10"/>
      <c r="Y33" s="10"/>
      <c r="Z33" s="10"/>
      <c r="AA33" s="6"/>
      <c r="AB33" s="6"/>
      <c r="AC33" s="6"/>
      <c r="AD33" s="6"/>
    </row>
    <row r="34" spans="2:30">
      <c r="B34" s="7">
        <f t="shared" si="0"/>
        <v>2022</v>
      </c>
      <c r="C34" s="7">
        <f t="shared" si="1"/>
        <v>5</v>
      </c>
      <c r="D34" s="7">
        <f t="shared" si="2"/>
        <v>9</v>
      </c>
      <c r="E34" s="8">
        <f t="shared" si="5"/>
        <v>44690</v>
      </c>
      <c r="F34" s="8">
        <f t="shared" si="6"/>
        <v>44696</v>
      </c>
      <c r="G34" s="7">
        <f t="shared" si="3"/>
        <v>20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6"/>
      <c r="S34" s="6"/>
      <c r="T34" s="6"/>
      <c r="U34" s="6"/>
      <c r="V34" s="10"/>
      <c r="W34" s="10"/>
      <c r="X34" s="10"/>
      <c r="Y34" s="10"/>
      <c r="Z34" s="10"/>
      <c r="AA34" s="6"/>
      <c r="AB34" s="6"/>
      <c r="AC34" s="6"/>
      <c r="AD34" s="6"/>
    </row>
    <row r="35" spans="2:30">
      <c r="B35" s="7">
        <f t="shared" si="0"/>
        <v>2022</v>
      </c>
      <c r="C35" s="7">
        <f t="shared" si="1"/>
        <v>5</v>
      </c>
      <c r="D35" s="7">
        <f t="shared" si="2"/>
        <v>16</v>
      </c>
      <c r="E35" s="8">
        <f t="shared" si="5"/>
        <v>44697</v>
      </c>
      <c r="F35" s="8">
        <f t="shared" si="6"/>
        <v>44703</v>
      </c>
      <c r="G35" s="7">
        <f t="shared" si="3"/>
        <v>21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6"/>
      <c r="S35" s="6"/>
      <c r="T35" s="6"/>
      <c r="U35" s="6"/>
      <c r="V35" s="10"/>
      <c r="W35" s="10"/>
      <c r="X35" s="10"/>
      <c r="Y35" s="10"/>
      <c r="Z35" s="10"/>
      <c r="AA35" s="6"/>
      <c r="AB35" s="6"/>
      <c r="AC35" s="6"/>
      <c r="AD35" s="6"/>
    </row>
    <row r="36" spans="2:30">
      <c r="B36" s="7">
        <f t="shared" si="0"/>
        <v>2022</v>
      </c>
      <c r="C36" s="7">
        <f t="shared" si="1"/>
        <v>5</v>
      </c>
      <c r="D36" s="7">
        <f t="shared" si="2"/>
        <v>23</v>
      </c>
      <c r="E36" s="8">
        <f t="shared" si="5"/>
        <v>44704</v>
      </c>
      <c r="F36" s="8">
        <f t="shared" si="6"/>
        <v>44710</v>
      </c>
      <c r="G36" s="7">
        <f t="shared" si="3"/>
        <v>22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6"/>
      <c r="S36" s="6"/>
      <c r="T36" s="6"/>
      <c r="U36" s="6"/>
      <c r="V36" s="10"/>
      <c r="W36" s="10"/>
      <c r="X36" s="10"/>
      <c r="Y36" s="10"/>
      <c r="Z36" s="10"/>
      <c r="AA36" s="6"/>
      <c r="AB36" s="6"/>
      <c r="AC36" s="6"/>
      <c r="AD36" s="6"/>
    </row>
    <row r="37" spans="2:30">
      <c r="B37" s="7">
        <f t="shared" si="0"/>
        <v>2022</v>
      </c>
      <c r="C37" s="7">
        <f t="shared" si="1"/>
        <v>5</v>
      </c>
      <c r="D37" s="7">
        <f t="shared" si="2"/>
        <v>30</v>
      </c>
      <c r="E37" s="8">
        <f t="shared" si="5"/>
        <v>44711</v>
      </c>
      <c r="F37" s="8">
        <f t="shared" si="6"/>
        <v>44717</v>
      </c>
      <c r="G37" s="7">
        <f t="shared" si="3"/>
        <v>23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6"/>
      <c r="S37" s="6"/>
      <c r="T37" s="6"/>
      <c r="U37" s="6"/>
      <c r="V37" s="10"/>
      <c r="W37" s="10"/>
      <c r="X37" s="10"/>
      <c r="Y37" s="10"/>
      <c r="Z37" s="10"/>
      <c r="AA37" s="6"/>
      <c r="AB37" s="6"/>
      <c r="AC37" s="6"/>
      <c r="AD37" s="6"/>
    </row>
    <row r="38" spans="2:30">
      <c r="B38" s="7">
        <f t="shared" si="0"/>
        <v>2022</v>
      </c>
      <c r="C38" s="7">
        <f t="shared" si="1"/>
        <v>6</v>
      </c>
      <c r="D38" s="7">
        <f t="shared" si="2"/>
        <v>6</v>
      </c>
      <c r="E38" s="8">
        <f t="shared" si="5"/>
        <v>44718</v>
      </c>
      <c r="F38" s="8">
        <f t="shared" si="6"/>
        <v>44724</v>
      </c>
      <c r="G38" s="7">
        <f t="shared" si="3"/>
        <v>24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6"/>
      <c r="S38" s="6"/>
      <c r="T38" s="6"/>
      <c r="U38" s="6"/>
      <c r="V38" s="10"/>
      <c r="W38" s="10"/>
      <c r="X38" s="10"/>
      <c r="Y38" s="10"/>
      <c r="Z38" s="10"/>
      <c r="AA38" s="6"/>
      <c r="AB38" s="6"/>
      <c r="AC38" s="6"/>
      <c r="AD38" s="6"/>
    </row>
    <row r="39" spans="2:30">
      <c r="B39" s="7">
        <f t="shared" si="0"/>
        <v>2022</v>
      </c>
      <c r="C39" s="7">
        <f t="shared" si="1"/>
        <v>6</v>
      </c>
      <c r="D39" s="7">
        <f t="shared" si="2"/>
        <v>13</v>
      </c>
      <c r="E39" s="8">
        <f t="shared" si="5"/>
        <v>44725</v>
      </c>
      <c r="F39" s="8">
        <f t="shared" si="6"/>
        <v>44731</v>
      </c>
      <c r="G39" s="7">
        <f t="shared" si="3"/>
        <v>25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6"/>
      <c r="S39" s="6"/>
      <c r="T39" s="6"/>
      <c r="U39" s="6"/>
      <c r="V39" s="10"/>
      <c r="W39" s="10"/>
      <c r="X39" s="10"/>
      <c r="Y39" s="10"/>
      <c r="Z39" s="10"/>
      <c r="AA39" s="6"/>
      <c r="AB39" s="6"/>
      <c r="AC39" s="6"/>
      <c r="AD39" s="6"/>
    </row>
    <row r="40" spans="2:30">
      <c r="B40" s="7">
        <f t="shared" si="0"/>
        <v>2022</v>
      </c>
      <c r="C40" s="7">
        <f t="shared" si="1"/>
        <v>6</v>
      </c>
      <c r="D40" s="7">
        <f t="shared" si="2"/>
        <v>20</v>
      </c>
      <c r="E40" s="8">
        <f t="shared" si="5"/>
        <v>44732</v>
      </c>
      <c r="F40" s="8">
        <f t="shared" si="6"/>
        <v>44738</v>
      </c>
      <c r="G40" s="7">
        <f t="shared" si="3"/>
        <v>26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6"/>
      <c r="S40" s="6"/>
      <c r="T40" s="6"/>
      <c r="U40" s="6"/>
      <c r="V40" s="10"/>
      <c r="W40" s="10"/>
      <c r="X40" s="10"/>
      <c r="Y40" s="10"/>
      <c r="Z40" s="10"/>
      <c r="AA40" s="6"/>
      <c r="AB40" s="6"/>
      <c r="AC40" s="6"/>
      <c r="AD40" s="6"/>
    </row>
    <row r="41" spans="2:30">
      <c r="B41" s="7">
        <f t="shared" si="0"/>
        <v>2022</v>
      </c>
      <c r="C41" s="7">
        <f t="shared" si="1"/>
        <v>6</v>
      </c>
      <c r="D41" s="7">
        <f t="shared" si="2"/>
        <v>27</v>
      </c>
      <c r="E41" s="8">
        <f t="shared" si="5"/>
        <v>44739</v>
      </c>
      <c r="F41" s="8">
        <f t="shared" si="6"/>
        <v>44745</v>
      </c>
      <c r="G41" s="7">
        <f t="shared" si="3"/>
        <v>27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6"/>
      <c r="S41" s="6"/>
      <c r="T41" s="6"/>
      <c r="U41" s="6"/>
      <c r="V41" s="10"/>
      <c r="W41" s="10"/>
      <c r="X41" s="10"/>
      <c r="Y41" s="10"/>
      <c r="Z41" s="10"/>
      <c r="AA41" s="6"/>
      <c r="AB41" s="6"/>
      <c r="AC41" s="6"/>
      <c r="AD41" s="6"/>
    </row>
    <row r="42" spans="2:30">
      <c r="B42" s="7">
        <f t="shared" si="0"/>
        <v>2022</v>
      </c>
      <c r="C42" s="7">
        <f t="shared" si="1"/>
        <v>7</v>
      </c>
      <c r="D42" s="7">
        <f t="shared" si="2"/>
        <v>4</v>
      </c>
      <c r="E42" s="8">
        <f t="shared" si="5"/>
        <v>44746</v>
      </c>
      <c r="F42" s="8">
        <f t="shared" si="6"/>
        <v>44752</v>
      </c>
      <c r="G42" s="7">
        <f t="shared" si="3"/>
        <v>28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6"/>
      <c r="S42" s="6"/>
      <c r="T42" s="6"/>
      <c r="U42" s="6"/>
      <c r="V42" s="10"/>
      <c r="W42" s="10"/>
      <c r="X42" s="10"/>
      <c r="Y42" s="10"/>
      <c r="Z42" s="10"/>
      <c r="AA42" s="6"/>
      <c r="AB42" s="6"/>
      <c r="AC42" s="6"/>
      <c r="AD42" s="6"/>
    </row>
    <row r="43" spans="2:30">
      <c r="B43" s="7">
        <f t="shared" si="0"/>
        <v>2022</v>
      </c>
      <c r="C43" s="7">
        <f t="shared" si="1"/>
        <v>7</v>
      </c>
      <c r="D43" s="7">
        <f t="shared" si="2"/>
        <v>11</v>
      </c>
      <c r="E43" s="8">
        <f t="shared" si="5"/>
        <v>44753</v>
      </c>
      <c r="F43" s="8">
        <f t="shared" si="6"/>
        <v>44759</v>
      </c>
      <c r="G43" s="7">
        <f t="shared" si="3"/>
        <v>29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6"/>
      <c r="S43" s="6"/>
      <c r="T43" s="6"/>
      <c r="U43" s="6"/>
      <c r="V43" s="10"/>
      <c r="W43" s="10"/>
      <c r="X43" s="10"/>
      <c r="Y43" s="10"/>
      <c r="Z43" s="10"/>
      <c r="AA43" s="6"/>
      <c r="AB43" s="6"/>
      <c r="AC43" s="6"/>
      <c r="AD43" s="6"/>
    </row>
    <row r="44" spans="2:30">
      <c r="B44" s="7">
        <f t="shared" si="0"/>
        <v>2022</v>
      </c>
      <c r="C44" s="7">
        <f t="shared" si="1"/>
        <v>7</v>
      </c>
      <c r="D44" s="7">
        <f t="shared" si="2"/>
        <v>18</v>
      </c>
      <c r="E44" s="8">
        <f t="shared" si="5"/>
        <v>44760</v>
      </c>
      <c r="F44" s="8">
        <f t="shared" si="6"/>
        <v>44766</v>
      </c>
      <c r="G44" s="7">
        <f t="shared" si="3"/>
        <v>30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6"/>
      <c r="S44" s="6"/>
      <c r="T44" s="6"/>
      <c r="U44" s="6"/>
      <c r="V44" s="10"/>
      <c r="W44" s="10"/>
      <c r="X44" s="10"/>
      <c r="Y44" s="10"/>
      <c r="Z44" s="10"/>
      <c r="AA44" s="6"/>
      <c r="AB44" s="6"/>
      <c r="AC44" s="6"/>
      <c r="AD44" s="6"/>
    </row>
    <row r="45" spans="2:30">
      <c r="B45" s="7">
        <f t="shared" si="0"/>
        <v>2022</v>
      </c>
      <c r="C45" s="7">
        <f t="shared" si="1"/>
        <v>7</v>
      </c>
      <c r="D45" s="7">
        <f t="shared" si="2"/>
        <v>25</v>
      </c>
      <c r="E45" s="8">
        <f t="shared" si="5"/>
        <v>44767</v>
      </c>
      <c r="F45" s="8">
        <f t="shared" si="6"/>
        <v>44773</v>
      </c>
      <c r="G45" s="7">
        <f t="shared" si="3"/>
        <v>31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6"/>
      <c r="S45" s="6"/>
      <c r="T45" s="6"/>
      <c r="U45" s="6"/>
      <c r="V45" s="10"/>
      <c r="W45" s="10"/>
      <c r="X45" s="10"/>
      <c r="Y45" s="10"/>
      <c r="Z45" s="10"/>
      <c r="AA45" s="6"/>
      <c r="AB45" s="6"/>
      <c r="AC45" s="6"/>
      <c r="AD45" s="6"/>
    </row>
    <row r="46" spans="2:30">
      <c r="B46" s="7">
        <f t="shared" si="0"/>
        <v>2022</v>
      </c>
      <c r="C46" s="7">
        <f t="shared" si="1"/>
        <v>8</v>
      </c>
      <c r="D46" s="7">
        <f t="shared" si="2"/>
        <v>1</v>
      </c>
      <c r="E46" s="8">
        <f t="shared" si="5"/>
        <v>44774</v>
      </c>
      <c r="F46" s="8">
        <f t="shared" si="6"/>
        <v>44780</v>
      </c>
      <c r="G46" s="7">
        <f t="shared" si="3"/>
        <v>32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6"/>
      <c r="S46" s="6"/>
      <c r="T46" s="6"/>
      <c r="U46" s="6"/>
      <c r="V46" s="10"/>
      <c r="W46" s="10"/>
      <c r="X46" s="10"/>
      <c r="Y46" s="10"/>
      <c r="Z46" s="10"/>
      <c r="AA46" s="6"/>
      <c r="AB46" s="6"/>
      <c r="AC46" s="6"/>
      <c r="AD46" s="6"/>
    </row>
    <row r="47" spans="2:30">
      <c r="B47" s="7">
        <f t="shared" si="0"/>
        <v>2022</v>
      </c>
      <c r="C47" s="7">
        <f t="shared" si="1"/>
        <v>8</v>
      </c>
      <c r="D47" s="7">
        <f t="shared" si="2"/>
        <v>8</v>
      </c>
      <c r="E47" s="8">
        <f t="shared" si="5"/>
        <v>44781</v>
      </c>
      <c r="F47" s="8">
        <f t="shared" si="6"/>
        <v>44787</v>
      </c>
      <c r="G47" s="7">
        <f t="shared" si="3"/>
        <v>33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6"/>
      <c r="S47" s="6"/>
      <c r="T47" s="6"/>
      <c r="U47" s="6"/>
      <c r="V47" s="10"/>
      <c r="W47" s="10"/>
      <c r="X47" s="10"/>
      <c r="Y47" s="10"/>
      <c r="Z47" s="10"/>
      <c r="AA47" s="6"/>
      <c r="AB47" s="6"/>
      <c r="AC47" s="6"/>
      <c r="AD47" s="6"/>
    </row>
    <row r="48" spans="2:30">
      <c r="B48" s="7">
        <f t="shared" si="0"/>
        <v>2022</v>
      </c>
      <c r="C48" s="7">
        <f t="shared" si="1"/>
        <v>8</v>
      </c>
      <c r="D48" s="7">
        <f t="shared" si="2"/>
        <v>15</v>
      </c>
      <c r="E48" s="8">
        <f t="shared" si="5"/>
        <v>44788</v>
      </c>
      <c r="F48" s="8">
        <f t="shared" si="6"/>
        <v>44794</v>
      </c>
      <c r="G48" s="7">
        <f t="shared" si="3"/>
        <v>34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6"/>
      <c r="S48" s="6"/>
      <c r="T48" s="6"/>
      <c r="U48" s="6"/>
      <c r="V48" s="10"/>
      <c r="W48" s="10"/>
      <c r="X48" s="10"/>
      <c r="Y48" s="10"/>
      <c r="Z48" s="10"/>
      <c r="AA48" s="6"/>
      <c r="AB48" s="6"/>
      <c r="AC48" s="6"/>
      <c r="AD48" s="6"/>
    </row>
    <row r="49" spans="2:30">
      <c r="B49" s="7">
        <f t="shared" si="0"/>
        <v>2022</v>
      </c>
      <c r="C49" s="7">
        <f t="shared" si="1"/>
        <v>8</v>
      </c>
      <c r="D49" s="7">
        <f t="shared" si="2"/>
        <v>22</v>
      </c>
      <c r="E49" s="8">
        <f t="shared" si="5"/>
        <v>44795</v>
      </c>
      <c r="F49" s="8">
        <f t="shared" si="6"/>
        <v>44801</v>
      </c>
      <c r="G49" s="7">
        <f t="shared" si="3"/>
        <v>35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6"/>
      <c r="S49" s="6"/>
      <c r="T49" s="6"/>
      <c r="U49" s="6"/>
      <c r="V49" s="10"/>
      <c r="W49" s="10"/>
      <c r="X49" s="10"/>
      <c r="Y49" s="10"/>
      <c r="Z49" s="10"/>
      <c r="AA49" s="6"/>
      <c r="AB49" s="6"/>
      <c r="AC49" s="6"/>
      <c r="AD49" s="6"/>
    </row>
    <row r="50" spans="2:30">
      <c r="B50" s="7">
        <f t="shared" si="0"/>
        <v>2022</v>
      </c>
      <c r="C50" s="7">
        <f t="shared" si="1"/>
        <v>8</v>
      </c>
      <c r="D50" s="7">
        <f t="shared" si="2"/>
        <v>29</v>
      </c>
      <c r="E50" s="8">
        <f t="shared" si="5"/>
        <v>44802</v>
      </c>
      <c r="F50" s="8">
        <f t="shared" si="6"/>
        <v>44808</v>
      </c>
      <c r="G50" s="7">
        <f t="shared" si="3"/>
        <v>36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6"/>
      <c r="S50" s="6"/>
      <c r="T50" s="6"/>
      <c r="U50" s="6"/>
      <c r="V50" s="10"/>
      <c r="W50" s="10"/>
      <c r="X50" s="10"/>
      <c r="Y50" s="10"/>
      <c r="Z50" s="10"/>
      <c r="AA50" s="6"/>
      <c r="AB50" s="6"/>
      <c r="AC50" s="6"/>
      <c r="AD50" s="6"/>
    </row>
    <row r="51" spans="2:30">
      <c r="B51" s="7">
        <f t="shared" si="0"/>
        <v>2022</v>
      </c>
      <c r="C51" s="7">
        <f t="shared" si="1"/>
        <v>9</v>
      </c>
      <c r="D51" s="7">
        <f t="shared" si="2"/>
        <v>5</v>
      </c>
      <c r="E51" s="8">
        <f t="shared" si="5"/>
        <v>44809</v>
      </c>
      <c r="F51" s="8">
        <f t="shared" si="6"/>
        <v>44815</v>
      </c>
      <c r="G51" s="7">
        <f t="shared" si="3"/>
        <v>37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6"/>
      <c r="S51" s="6"/>
      <c r="T51" s="6"/>
      <c r="U51" s="6"/>
      <c r="V51" s="10"/>
      <c r="W51" s="10"/>
      <c r="X51" s="10"/>
      <c r="Y51" s="10"/>
      <c r="Z51" s="10"/>
      <c r="AA51" s="6"/>
      <c r="AB51" s="6"/>
      <c r="AC51" s="6"/>
      <c r="AD51" s="6"/>
    </row>
    <row r="52" spans="2:30">
      <c r="B52" s="7">
        <f t="shared" si="0"/>
        <v>2022</v>
      </c>
      <c r="C52" s="7">
        <f t="shared" si="1"/>
        <v>9</v>
      </c>
      <c r="D52" s="7">
        <f t="shared" si="2"/>
        <v>12</v>
      </c>
      <c r="E52" s="8">
        <f t="shared" si="5"/>
        <v>44816</v>
      </c>
      <c r="F52" s="8">
        <f t="shared" si="6"/>
        <v>44822</v>
      </c>
      <c r="G52" s="7">
        <f t="shared" si="3"/>
        <v>38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6"/>
      <c r="S52" s="6"/>
      <c r="T52" s="6"/>
      <c r="U52" s="6"/>
      <c r="V52" s="10"/>
      <c r="W52" s="10"/>
      <c r="X52" s="10"/>
      <c r="Y52" s="10"/>
      <c r="Z52" s="10"/>
      <c r="AA52" s="6"/>
      <c r="AB52" s="6"/>
      <c r="AC52" s="6"/>
      <c r="AD52" s="6"/>
    </row>
    <row r="53" spans="2:30">
      <c r="B53" s="7">
        <f t="shared" si="0"/>
        <v>2022</v>
      </c>
      <c r="C53" s="7">
        <f t="shared" si="1"/>
        <v>9</v>
      </c>
      <c r="D53" s="7">
        <f t="shared" si="2"/>
        <v>19</v>
      </c>
      <c r="E53" s="8">
        <f t="shared" si="5"/>
        <v>44823</v>
      </c>
      <c r="F53" s="8">
        <f t="shared" si="6"/>
        <v>44829</v>
      </c>
      <c r="G53" s="7">
        <f t="shared" si="3"/>
        <v>39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6"/>
      <c r="S53" s="6"/>
      <c r="T53" s="6"/>
      <c r="U53" s="6"/>
      <c r="V53" s="10"/>
      <c r="W53" s="10"/>
      <c r="X53" s="10"/>
      <c r="Y53" s="10"/>
      <c r="Z53" s="10"/>
      <c r="AA53" s="6"/>
      <c r="AB53" s="6"/>
      <c r="AC53" s="6"/>
      <c r="AD53" s="6"/>
    </row>
    <row r="54" spans="2:30">
      <c r="B54" s="7">
        <f t="shared" si="0"/>
        <v>2022</v>
      </c>
      <c r="C54" s="7">
        <f t="shared" si="1"/>
        <v>9</v>
      </c>
      <c r="D54" s="7">
        <f t="shared" si="2"/>
        <v>26</v>
      </c>
      <c r="E54" s="8">
        <f t="shared" si="5"/>
        <v>44830</v>
      </c>
      <c r="F54" s="8">
        <f t="shared" si="6"/>
        <v>44836</v>
      </c>
      <c r="G54" s="7">
        <f t="shared" si="3"/>
        <v>40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6"/>
      <c r="S54" s="6"/>
      <c r="T54" s="6"/>
      <c r="U54" s="6"/>
      <c r="V54" s="10"/>
      <c r="W54" s="10"/>
      <c r="X54" s="10"/>
      <c r="Y54" s="10"/>
      <c r="Z54" s="10"/>
      <c r="AA54" s="6"/>
      <c r="AB54" s="6"/>
      <c r="AC54" s="6"/>
      <c r="AD54" s="6"/>
    </row>
    <row r="55" spans="2:30">
      <c r="B55" s="7">
        <f t="shared" si="0"/>
        <v>2022</v>
      </c>
      <c r="C55" s="7">
        <f t="shared" si="1"/>
        <v>10</v>
      </c>
      <c r="D55" s="7">
        <f t="shared" si="2"/>
        <v>3</v>
      </c>
      <c r="E55" s="8">
        <f t="shared" si="5"/>
        <v>44837</v>
      </c>
      <c r="F55" s="8">
        <f t="shared" si="6"/>
        <v>44843</v>
      </c>
      <c r="G55" s="7">
        <f t="shared" si="3"/>
        <v>41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6"/>
      <c r="S55" s="6"/>
      <c r="T55" s="6"/>
      <c r="U55" s="6"/>
      <c r="V55" s="10"/>
      <c r="W55" s="10"/>
      <c r="X55" s="10"/>
      <c r="Y55" s="10"/>
      <c r="Z55" s="10"/>
      <c r="AA55" s="6"/>
      <c r="AB55" s="6"/>
      <c r="AC55" s="6"/>
      <c r="AD55" s="6"/>
    </row>
    <row r="56" spans="2:30">
      <c r="B56" s="7">
        <f t="shared" si="0"/>
        <v>2022</v>
      </c>
      <c r="C56" s="7">
        <f t="shared" si="1"/>
        <v>10</v>
      </c>
      <c r="D56" s="7">
        <f t="shared" si="2"/>
        <v>10</v>
      </c>
      <c r="E56" s="8">
        <f t="shared" si="5"/>
        <v>44844</v>
      </c>
      <c r="F56" s="8">
        <f t="shared" si="6"/>
        <v>44850</v>
      </c>
      <c r="G56" s="7">
        <f t="shared" si="3"/>
        <v>42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6"/>
      <c r="S56" s="6"/>
      <c r="T56" s="6"/>
      <c r="U56" s="6"/>
      <c r="V56" s="10"/>
      <c r="W56" s="10"/>
      <c r="X56" s="10"/>
      <c r="Y56" s="10"/>
      <c r="Z56" s="10"/>
      <c r="AA56" s="6"/>
      <c r="AB56" s="6"/>
      <c r="AC56" s="6"/>
      <c r="AD56" s="6"/>
    </row>
    <row r="57" spans="2:30">
      <c r="B57" s="7">
        <f t="shared" si="0"/>
        <v>2022</v>
      </c>
      <c r="C57" s="7">
        <f t="shared" si="1"/>
        <v>10</v>
      </c>
      <c r="D57" s="7">
        <f t="shared" si="2"/>
        <v>17</v>
      </c>
      <c r="E57" s="8">
        <f t="shared" si="5"/>
        <v>44851</v>
      </c>
      <c r="F57" s="8">
        <f t="shared" si="6"/>
        <v>44857</v>
      </c>
      <c r="G57" s="7">
        <f t="shared" si="3"/>
        <v>43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6"/>
      <c r="S57" s="6"/>
      <c r="T57" s="6"/>
      <c r="U57" s="6"/>
      <c r="V57" s="10"/>
      <c r="W57" s="10"/>
      <c r="X57" s="10"/>
      <c r="Y57" s="10"/>
      <c r="Z57" s="10"/>
      <c r="AA57" s="6"/>
      <c r="AB57" s="6"/>
      <c r="AC57" s="6"/>
      <c r="AD57" s="6"/>
    </row>
    <row r="58" spans="2:30">
      <c r="B58" s="7">
        <f t="shared" si="0"/>
        <v>2022</v>
      </c>
      <c r="C58" s="7">
        <f t="shared" si="1"/>
        <v>10</v>
      </c>
      <c r="D58" s="7">
        <f t="shared" si="2"/>
        <v>24</v>
      </c>
      <c r="E58" s="8">
        <f t="shared" si="5"/>
        <v>44858</v>
      </c>
      <c r="F58" s="8">
        <f t="shared" si="6"/>
        <v>44864</v>
      </c>
      <c r="G58" s="7">
        <f t="shared" si="3"/>
        <v>44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6"/>
      <c r="S58" s="6"/>
      <c r="T58" s="6"/>
      <c r="U58" s="6"/>
      <c r="V58" s="10"/>
      <c r="W58" s="10"/>
      <c r="X58" s="10"/>
      <c r="Y58" s="10"/>
      <c r="Z58" s="10"/>
      <c r="AA58" s="6"/>
      <c r="AB58" s="6"/>
      <c r="AC58" s="6"/>
      <c r="AD58" s="6"/>
    </row>
    <row r="59" spans="2:30">
      <c r="B59" s="6"/>
      <c r="C59" s="6"/>
      <c r="D59" s="7"/>
      <c r="E59" s="6"/>
      <c r="F59" s="6"/>
      <c r="G59" s="6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6"/>
      <c r="S59" s="6"/>
      <c r="T59" s="6"/>
      <c r="U59" s="6"/>
      <c r="V59" s="10"/>
      <c r="W59" s="10"/>
      <c r="X59" s="10"/>
      <c r="Y59" s="10"/>
      <c r="Z59" s="10"/>
      <c r="AA59" s="6"/>
      <c r="AB59" s="6"/>
      <c r="AC59" s="6"/>
      <c r="AD59" s="6"/>
    </row>
    <row r="60" spans="2:30">
      <c r="B60" s="6"/>
      <c r="C60" s="6"/>
      <c r="D60" s="7"/>
      <c r="E60" s="6"/>
      <c r="F60" s="6"/>
      <c r="G60" s="6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6"/>
      <c r="S60" s="6"/>
      <c r="T60" s="6"/>
      <c r="U60" s="6"/>
      <c r="V60" s="10"/>
      <c r="W60" s="10"/>
      <c r="X60" s="10"/>
      <c r="Y60" s="10"/>
      <c r="Z60" s="10"/>
      <c r="AA60" s="6"/>
      <c r="AB60" s="6"/>
      <c r="AC60" s="6"/>
      <c r="AD60" s="6"/>
    </row>
    <row r="61" spans="2:30">
      <c r="B61" s="6"/>
      <c r="C61" s="6"/>
      <c r="D61" s="7"/>
      <c r="E61" s="6"/>
      <c r="F61" s="6"/>
      <c r="G61" s="6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6"/>
      <c r="S61" s="6"/>
      <c r="T61" s="6"/>
      <c r="U61" s="6"/>
      <c r="V61" s="10"/>
      <c r="W61" s="10"/>
      <c r="X61" s="10"/>
      <c r="Y61" s="10"/>
      <c r="Z61" s="10"/>
      <c r="AA61" s="6"/>
      <c r="AB61" s="6"/>
      <c r="AC61" s="6"/>
      <c r="AD61" s="6"/>
    </row>
    <row r="62" spans="2:30">
      <c r="B62" s="6"/>
      <c r="C62" s="6"/>
      <c r="D62" s="7"/>
      <c r="E62" s="6"/>
      <c r="F62" s="6"/>
      <c r="G62" s="6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6"/>
      <c r="S62" s="6"/>
      <c r="T62" s="6"/>
      <c r="U62" s="6"/>
      <c r="V62" s="10"/>
      <c r="W62" s="10"/>
      <c r="X62" s="10"/>
      <c r="Y62" s="10"/>
      <c r="Z62" s="10"/>
      <c r="AA62" s="6"/>
      <c r="AB62" s="6"/>
      <c r="AC62" s="6"/>
      <c r="AD62" s="6"/>
    </row>
    <row r="63" spans="2:30">
      <c r="B63" s="6"/>
      <c r="C63" s="6"/>
      <c r="D63" s="7"/>
      <c r="E63" s="6"/>
      <c r="F63" s="6"/>
      <c r="G63" s="6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6"/>
      <c r="S63" s="6"/>
      <c r="T63" s="6"/>
      <c r="U63" s="6"/>
      <c r="V63" s="10"/>
      <c r="W63" s="10"/>
      <c r="X63" s="10"/>
      <c r="Y63" s="10"/>
      <c r="Z63" s="10"/>
      <c r="AA63" s="6"/>
      <c r="AB63" s="6"/>
      <c r="AC63" s="6"/>
      <c r="AD63" s="6"/>
    </row>
    <row r="64" spans="2:30">
      <c r="B64" s="6"/>
      <c r="C64" s="6"/>
      <c r="D64" s="7"/>
      <c r="E64" s="6"/>
      <c r="F64" s="6"/>
      <c r="G64" s="6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6"/>
      <c r="S64" s="6"/>
      <c r="T64" s="6"/>
      <c r="U64" s="6"/>
      <c r="V64" s="10"/>
      <c r="W64" s="10"/>
      <c r="X64" s="10"/>
      <c r="Y64" s="10"/>
      <c r="Z64" s="10"/>
      <c r="AA64" s="6"/>
      <c r="AB64" s="6"/>
      <c r="AC64" s="6"/>
      <c r="AD64" s="6"/>
    </row>
    <row r="65" spans="8:17"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8:17"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8:17"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8:17"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8:17"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8:17"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8:17"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8:17"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8:17"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8:17"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8:17"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8:17"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8:17"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8:17"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8:17"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8:17"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8:17"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8:17"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8:17"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8:17"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8:17"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8:17"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8:17"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8:17"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8:17"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8:17"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8:17"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8:17"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8:17"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8:17"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8:17"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8:17"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7:17"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7:17"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7:17"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7:17"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7:17"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7:17"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7:17"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7:17"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7:17"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7:17"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7:17"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7:17"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7:17"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7:17"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7:17"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7:17"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8:17"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8:17"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8:17"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8:17"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8:17"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8:17"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8:17"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8:17"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8:17"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8:17"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8:17"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8:17"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8:17"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8:17"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8:17"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8:17"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8:17"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8:17"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8:17"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8:17"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8:17"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8:17"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8:17"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8:17"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8:17"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8:17"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8:17"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8:17"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8:17"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8:17"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8:17"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8:17"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8:17"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8:17"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8:17"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8:17"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8:17"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8:17"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8:17"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8:17">
      <c r="H152" s="5"/>
      <c r="I152" s="5"/>
      <c r="J152" s="5"/>
      <c r="K152" s="5"/>
      <c r="L152" s="5"/>
      <c r="M152" s="5"/>
      <c r="N152" s="5"/>
      <c r="O152" s="5"/>
      <c r="P152" s="5"/>
      <c r="Q152" s="5"/>
    </row>
  </sheetData>
  <mergeCells count="1">
    <mergeCell ref="E6:F6"/>
  </mergeCells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AD152"/>
  <sheetViews>
    <sheetView showGridLines="0" tabSelected="1" zoomScale="110" zoomScaleNormal="11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R8" sqref="R8"/>
    </sheetView>
  </sheetViews>
  <sheetFormatPr defaultRowHeight="14.4"/>
  <cols>
    <col min="1" max="1" width="12" bestFit="1" customWidth="1"/>
    <col min="3" max="3" width="10.5546875" bestFit="1" customWidth="1"/>
    <col min="4" max="4" width="16.77734375" style="2" bestFit="1" customWidth="1"/>
    <col min="5" max="6" width="10.88671875" bestFit="1" customWidth="1"/>
    <col min="7" max="7" width="9.44140625" bestFit="1" customWidth="1"/>
    <col min="8" max="9" width="5.109375" bestFit="1" customWidth="1"/>
    <col min="10" max="13" width="4.6640625" bestFit="1" customWidth="1"/>
    <col min="14" max="14" width="4.5546875" bestFit="1" customWidth="1"/>
    <col min="15" max="15" width="4.6640625" customWidth="1"/>
    <col min="16" max="17" width="4.5546875" bestFit="1" customWidth="1"/>
    <col min="18" max="18" width="4.88671875" customWidth="1"/>
    <col min="19" max="30" width="3.88671875" customWidth="1"/>
  </cols>
  <sheetData>
    <row r="1" spans="1:30">
      <c r="A1" s="15" t="s">
        <v>7</v>
      </c>
      <c r="B1" s="15" t="s">
        <v>2</v>
      </c>
      <c r="C1" s="15" t="s">
        <v>6</v>
      </c>
      <c r="D1" s="15" t="s">
        <v>5</v>
      </c>
      <c r="E1" s="15" t="s">
        <v>26</v>
      </c>
      <c r="F1" s="15" t="s">
        <v>4</v>
      </c>
      <c r="G1" s="15" t="s">
        <v>27</v>
      </c>
      <c r="N1" s="85"/>
      <c r="O1" t="s">
        <v>34</v>
      </c>
    </row>
    <row r="2" spans="1:30">
      <c r="A2" s="16" t="str">
        <f>main!C7</f>
        <v>ผักชี</v>
      </c>
      <c r="B2" s="66">
        <f>main!D7</f>
        <v>946</v>
      </c>
      <c r="C2" s="16">
        <f>main!E7</f>
        <v>500</v>
      </c>
      <c r="D2" s="21">
        <f>main!F7</f>
        <v>0.52854122621564481</v>
      </c>
      <c r="E2" s="16">
        <f>main!H7</f>
        <v>42</v>
      </c>
      <c r="F2" s="16">
        <f>main!I7</f>
        <v>6</v>
      </c>
      <c r="G2" s="16">
        <f>main!J7</f>
        <v>7</v>
      </c>
      <c r="H2" t="s">
        <v>194</v>
      </c>
      <c r="N2" s="11">
        <v>1</v>
      </c>
      <c r="O2" t="s">
        <v>35</v>
      </c>
    </row>
    <row r="3" spans="1:30">
      <c r="A3">
        <f>main!B7</f>
        <v>5</v>
      </c>
      <c r="D3"/>
      <c r="H3">
        <v>11</v>
      </c>
      <c r="I3">
        <v>12</v>
      </c>
      <c r="J3">
        <v>11</v>
      </c>
      <c r="K3">
        <v>11</v>
      </c>
      <c r="L3">
        <v>11</v>
      </c>
      <c r="M3">
        <v>11</v>
      </c>
      <c r="N3">
        <v>11</v>
      </c>
      <c r="O3">
        <v>12</v>
      </c>
    </row>
    <row r="4" spans="1:30" ht="115.8" customHeight="1">
      <c r="B4" s="12"/>
      <c r="C4" s="12"/>
      <c r="D4" s="14"/>
      <c r="E4" s="12"/>
      <c r="F4" s="12"/>
      <c r="G4" s="13" t="s">
        <v>1</v>
      </c>
      <c r="H4" s="13" t="s">
        <v>69</v>
      </c>
      <c r="I4" s="13" t="s">
        <v>74</v>
      </c>
      <c r="J4" s="13" t="s">
        <v>79</v>
      </c>
      <c r="K4" s="13" t="s">
        <v>89</v>
      </c>
      <c r="L4" s="13" t="s">
        <v>106</v>
      </c>
      <c r="M4" s="13" t="s">
        <v>131</v>
      </c>
      <c r="N4" s="13" t="s">
        <v>157</v>
      </c>
      <c r="O4" s="13" t="s">
        <v>146</v>
      </c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</row>
    <row r="5" spans="1:30">
      <c r="B5" s="17"/>
      <c r="C5" s="17"/>
      <c r="D5" s="18" t="s">
        <v>30</v>
      </c>
      <c r="E5" s="20">
        <v>44501</v>
      </c>
      <c r="F5" s="17"/>
      <c r="G5" s="18" t="s">
        <v>28</v>
      </c>
      <c r="H5" s="17">
        <v>78.833333333333329</v>
      </c>
      <c r="I5" s="17">
        <v>236.5</v>
      </c>
      <c r="J5" s="17">
        <v>157.66666666666666</v>
      </c>
      <c r="K5" s="17">
        <v>141.9</v>
      </c>
      <c r="L5" s="17">
        <v>236.5</v>
      </c>
      <c r="M5" s="17">
        <v>236.5</v>
      </c>
      <c r="N5" s="17">
        <v>135.14285714285714</v>
      </c>
      <c r="O5" s="17">
        <v>237</v>
      </c>
      <c r="P5" s="17"/>
      <c r="Q5" s="17"/>
      <c r="R5" s="17"/>
      <c r="S5" s="17"/>
      <c r="T5" s="17"/>
      <c r="U5" s="17"/>
      <c r="V5" s="18"/>
      <c r="W5" s="18"/>
      <c r="X5" s="18"/>
      <c r="Y5" s="18"/>
      <c r="Z5" s="18"/>
      <c r="AA5" s="17"/>
      <c r="AB5" s="17"/>
      <c r="AC5" s="17"/>
      <c r="AD5" s="17"/>
    </row>
    <row r="6" spans="1:30">
      <c r="B6" s="19" t="s">
        <v>31</v>
      </c>
      <c r="C6" s="19" t="s">
        <v>32</v>
      </c>
      <c r="D6" s="105" t="s">
        <v>33</v>
      </c>
      <c r="E6" s="107" t="s">
        <v>29</v>
      </c>
      <c r="F6" s="108"/>
      <c r="G6" s="105" t="s">
        <v>120</v>
      </c>
      <c r="H6" s="68">
        <v>8.3333333333333329E-2</v>
      </c>
      <c r="I6" s="68">
        <v>0.25</v>
      </c>
      <c r="J6" s="68">
        <v>0.16666666666666666</v>
      </c>
      <c r="K6" s="68">
        <v>0.15</v>
      </c>
      <c r="L6" s="68">
        <v>0.25</v>
      </c>
      <c r="M6" s="68">
        <v>0.25</v>
      </c>
      <c r="N6" s="68">
        <v>0.14285714285714285</v>
      </c>
      <c r="O6" s="68">
        <v>0.25</v>
      </c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</row>
    <row r="7" spans="1:30">
      <c r="B7" s="7">
        <f>YEAR(E7)</f>
        <v>2021</v>
      </c>
      <c r="C7" s="7">
        <f>MONTH(E7)</f>
        <v>11</v>
      </c>
      <c r="D7" s="7">
        <f>DAY(E7)</f>
        <v>1</v>
      </c>
      <c r="E7" s="8">
        <f>E5</f>
        <v>44501</v>
      </c>
      <c r="F7" s="8">
        <f>E7+6</f>
        <v>44507</v>
      </c>
      <c r="G7" s="7">
        <f>WEEKNUM(E7,1)</f>
        <v>45</v>
      </c>
      <c r="H7" s="10"/>
      <c r="I7" s="10"/>
      <c r="J7" s="10"/>
      <c r="K7" s="10"/>
      <c r="L7" s="85" t="s">
        <v>165</v>
      </c>
      <c r="M7" s="106"/>
      <c r="N7" s="85" t="s">
        <v>165</v>
      </c>
      <c r="O7" s="10"/>
      <c r="P7" s="10"/>
      <c r="Q7" s="10"/>
      <c r="R7" s="10"/>
      <c r="S7" s="6"/>
      <c r="T7" s="6"/>
      <c r="U7" s="6"/>
      <c r="V7" s="10"/>
      <c r="W7" s="10"/>
      <c r="X7" s="10"/>
      <c r="Y7" s="10"/>
      <c r="Z7" s="10"/>
      <c r="AA7" s="6"/>
      <c r="AB7" s="6"/>
      <c r="AC7" s="6"/>
      <c r="AD7" s="6"/>
    </row>
    <row r="8" spans="1:30">
      <c r="B8" s="7">
        <f t="shared" ref="B8:B58" si="0">YEAR(E8)</f>
        <v>2021</v>
      </c>
      <c r="C8" s="7">
        <f t="shared" ref="C8:C58" si="1">MONTH(E8)</f>
        <v>11</v>
      </c>
      <c r="D8" s="7">
        <f t="shared" ref="D8:D58" si="2">DAY(E8)</f>
        <v>8</v>
      </c>
      <c r="E8" s="8">
        <f>E7+7</f>
        <v>44508</v>
      </c>
      <c r="F8" s="8">
        <f>E8+6</f>
        <v>44514</v>
      </c>
      <c r="G8" s="7">
        <f t="shared" ref="G8:G58" si="3">WEEKNUM(E8,1)</f>
        <v>46</v>
      </c>
      <c r="H8" s="10"/>
      <c r="I8" s="10"/>
      <c r="J8" s="10"/>
      <c r="K8" s="10"/>
      <c r="L8" s="85"/>
      <c r="M8" s="10"/>
      <c r="N8" s="85"/>
      <c r="O8" s="10"/>
      <c r="P8" s="10"/>
      <c r="Q8" s="10"/>
      <c r="R8" s="106"/>
      <c r="S8" s="6"/>
      <c r="T8" s="6"/>
      <c r="U8" s="6"/>
      <c r="V8" s="10"/>
      <c r="W8" s="10"/>
      <c r="X8" s="10"/>
      <c r="Y8" s="10"/>
      <c r="Z8" s="10"/>
      <c r="AA8" s="6"/>
      <c r="AB8" s="6"/>
      <c r="AC8" s="6"/>
      <c r="AD8" s="6"/>
    </row>
    <row r="9" spans="1:30">
      <c r="B9" s="7">
        <f t="shared" si="0"/>
        <v>2021</v>
      </c>
      <c r="C9" s="7">
        <f t="shared" si="1"/>
        <v>11</v>
      </c>
      <c r="D9" s="7">
        <f t="shared" si="2"/>
        <v>15</v>
      </c>
      <c r="E9" s="8">
        <f t="shared" ref="E9:E58" si="4">E8+7</f>
        <v>44515</v>
      </c>
      <c r="F9" s="8">
        <f t="shared" ref="F9:F58" si="5">E9+6</f>
        <v>44521</v>
      </c>
      <c r="G9" s="7">
        <f t="shared" si="3"/>
        <v>47</v>
      </c>
      <c r="H9" s="10"/>
      <c r="I9" s="106"/>
      <c r="J9" s="10"/>
      <c r="K9" s="10"/>
      <c r="L9" s="84"/>
      <c r="M9" s="85" t="s">
        <v>166</v>
      </c>
      <c r="N9" s="84"/>
      <c r="O9" s="10"/>
      <c r="P9" s="10"/>
      <c r="Q9" s="10"/>
      <c r="R9" s="10"/>
      <c r="S9" s="6"/>
      <c r="T9" s="6"/>
      <c r="U9" s="6"/>
      <c r="V9" s="10"/>
      <c r="W9" s="10"/>
      <c r="X9" s="10"/>
      <c r="Y9" s="10"/>
      <c r="Z9" s="10"/>
      <c r="AA9" s="6"/>
      <c r="AB9" s="6"/>
      <c r="AC9" s="6"/>
      <c r="AD9" s="6"/>
    </row>
    <row r="10" spans="1:30">
      <c r="B10" s="7">
        <f t="shared" si="0"/>
        <v>2021</v>
      </c>
      <c r="C10" s="7">
        <f t="shared" si="1"/>
        <v>11</v>
      </c>
      <c r="D10" s="7">
        <f t="shared" si="2"/>
        <v>22</v>
      </c>
      <c r="E10" s="8">
        <f t="shared" si="4"/>
        <v>44522</v>
      </c>
      <c r="F10" s="8">
        <f t="shared" si="5"/>
        <v>44528</v>
      </c>
      <c r="G10" s="7">
        <f t="shared" si="3"/>
        <v>48</v>
      </c>
      <c r="H10" s="10"/>
      <c r="I10" s="10"/>
      <c r="J10" s="10"/>
      <c r="K10" s="10"/>
      <c r="L10" s="84"/>
      <c r="M10" s="85"/>
      <c r="N10" s="84"/>
      <c r="O10" s="10"/>
      <c r="P10" s="10"/>
      <c r="Q10" s="10"/>
      <c r="R10" s="10"/>
      <c r="S10" s="6"/>
      <c r="T10" s="6"/>
      <c r="U10" s="6"/>
      <c r="V10" s="10"/>
      <c r="W10" s="10"/>
      <c r="X10" s="10"/>
      <c r="Y10" s="10"/>
      <c r="Z10" s="10"/>
      <c r="AA10" s="6"/>
      <c r="AB10" s="6"/>
      <c r="AC10" s="6"/>
      <c r="AD10" s="6"/>
    </row>
    <row r="11" spans="1:30">
      <c r="B11" s="7">
        <f t="shared" si="0"/>
        <v>2021</v>
      </c>
      <c r="C11" s="7">
        <f t="shared" si="1"/>
        <v>11</v>
      </c>
      <c r="D11" s="7">
        <f t="shared" si="2"/>
        <v>29</v>
      </c>
      <c r="E11" s="8">
        <f t="shared" si="4"/>
        <v>44529</v>
      </c>
      <c r="F11" s="8">
        <f t="shared" si="5"/>
        <v>44535</v>
      </c>
      <c r="G11" s="7">
        <f t="shared" si="3"/>
        <v>49</v>
      </c>
      <c r="H11" s="10"/>
      <c r="I11" s="10"/>
      <c r="J11" s="10"/>
      <c r="K11" s="10"/>
      <c r="L11" s="84"/>
      <c r="M11" s="84"/>
      <c r="N11" s="84"/>
      <c r="O11" s="106"/>
      <c r="P11" s="10"/>
      <c r="Q11" s="10"/>
      <c r="R11" s="10"/>
      <c r="S11" s="6"/>
      <c r="T11" s="6"/>
      <c r="U11" s="6"/>
      <c r="V11" s="10"/>
      <c r="W11" s="10"/>
      <c r="X11" s="10"/>
      <c r="Y11" s="10"/>
      <c r="Z11" s="10"/>
      <c r="AA11" s="6"/>
      <c r="AB11" s="6"/>
      <c r="AC11" s="6"/>
      <c r="AD11" s="6"/>
    </row>
    <row r="12" spans="1:30">
      <c r="B12" s="7">
        <f t="shared" si="0"/>
        <v>2021</v>
      </c>
      <c r="C12" s="7">
        <f t="shared" si="1"/>
        <v>12</v>
      </c>
      <c r="D12" s="7">
        <f t="shared" si="2"/>
        <v>6</v>
      </c>
      <c r="E12" s="8">
        <f t="shared" si="4"/>
        <v>44536</v>
      </c>
      <c r="F12" s="8">
        <f t="shared" si="5"/>
        <v>44542</v>
      </c>
      <c r="G12" s="7">
        <f t="shared" si="3"/>
        <v>50</v>
      </c>
      <c r="H12" s="10"/>
      <c r="I12" s="85" t="s">
        <v>167</v>
      </c>
      <c r="J12" s="85" t="s">
        <v>167</v>
      </c>
      <c r="K12" s="10"/>
      <c r="L12" s="84"/>
      <c r="M12" s="84"/>
      <c r="N12" s="84"/>
      <c r="O12" s="85" t="s">
        <v>167</v>
      </c>
      <c r="P12" s="106"/>
      <c r="Q12" s="10"/>
      <c r="R12" s="10"/>
      <c r="S12" s="6"/>
      <c r="T12" s="6"/>
      <c r="U12" s="6"/>
      <c r="V12" s="10"/>
      <c r="W12" s="10"/>
      <c r="X12" s="10"/>
      <c r="Y12" s="10"/>
      <c r="Z12" s="10"/>
      <c r="AA12" s="6"/>
      <c r="AB12" s="6"/>
      <c r="AC12" s="6"/>
      <c r="AD12" s="6"/>
    </row>
    <row r="13" spans="1:30">
      <c r="B13" s="7">
        <f t="shared" si="0"/>
        <v>2021</v>
      </c>
      <c r="C13" s="7">
        <f t="shared" si="1"/>
        <v>12</v>
      </c>
      <c r="D13" s="7">
        <f t="shared" si="2"/>
        <v>13</v>
      </c>
      <c r="E13" s="8">
        <f t="shared" si="4"/>
        <v>44543</v>
      </c>
      <c r="F13" s="8">
        <f t="shared" si="5"/>
        <v>44549</v>
      </c>
      <c r="G13" s="7">
        <f t="shared" si="3"/>
        <v>51</v>
      </c>
      <c r="H13" s="85" t="s">
        <v>168</v>
      </c>
      <c r="I13" s="85"/>
      <c r="J13" s="85"/>
      <c r="K13" s="85" t="s">
        <v>168</v>
      </c>
      <c r="L13" s="11">
        <v>1</v>
      </c>
      <c r="M13" s="84"/>
      <c r="N13" s="11">
        <v>1</v>
      </c>
      <c r="O13" s="85"/>
      <c r="P13" s="10"/>
      <c r="Q13" s="10"/>
      <c r="R13" s="10"/>
      <c r="S13" s="6"/>
      <c r="T13" s="6"/>
      <c r="U13" s="6"/>
      <c r="V13" s="10"/>
      <c r="W13" s="10"/>
      <c r="X13" s="10"/>
      <c r="Y13" s="10"/>
      <c r="Z13" s="10"/>
      <c r="AA13" s="6"/>
      <c r="AB13" s="6"/>
      <c r="AC13" s="6"/>
      <c r="AD13" s="6"/>
    </row>
    <row r="14" spans="1:30">
      <c r="B14" s="7">
        <f t="shared" si="0"/>
        <v>2021</v>
      </c>
      <c r="C14" s="7">
        <f t="shared" si="1"/>
        <v>12</v>
      </c>
      <c r="D14" s="7">
        <f t="shared" si="2"/>
        <v>20</v>
      </c>
      <c r="E14" s="8">
        <f t="shared" si="4"/>
        <v>44550</v>
      </c>
      <c r="F14" s="8">
        <f t="shared" si="5"/>
        <v>44556</v>
      </c>
      <c r="G14" s="7">
        <f t="shared" si="3"/>
        <v>52</v>
      </c>
      <c r="H14" s="85"/>
      <c r="I14" s="84"/>
      <c r="J14" s="84"/>
      <c r="K14" s="85"/>
      <c r="L14" s="10"/>
      <c r="M14" s="84"/>
      <c r="N14" s="10"/>
      <c r="O14" s="84"/>
      <c r="P14" s="10"/>
      <c r="Q14" s="10"/>
      <c r="R14" s="10"/>
      <c r="S14" s="6"/>
      <c r="T14" s="6"/>
      <c r="U14" s="6"/>
      <c r="V14" s="10"/>
      <c r="W14" s="10"/>
      <c r="X14" s="10"/>
      <c r="Y14" s="10"/>
      <c r="Z14" s="10"/>
      <c r="AA14" s="6"/>
      <c r="AB14" s="6"/>
      <c r="AC14" s="6"/>
      <c r="AD14" s="6"/>
    </row>
    <row r="15" spans="1:30">
      <c r="B15" s="7">
        <f t="shared" si="0"/>
        <v>2021</v>
      </c>
      <c r="C15" s="7">
        <f t="shared" si="1"/>
        <v>12</v>
      </c>
      <c r="D15" s="7">
        <f t="shared" si="2"/>
        <v>27</v>
      </c>
      <c r="E15" s="8">
        <f t="shared" si="4"/>
        <v>44557</v>
      </c>
      <c r="F15" s="8">
        <f t="shared" si="5"/>
        <v>44563</v>
      </c>
      <c r="G15" s="7">
        <f t="shared" si="3"/>
        <v>53</v>
      </c>
      <c r="H15" s="84"/>
      <c r="I15" s="84"/>
      <c r="J15" s="84"/>
      <c r="K15" s="84"/>
      <c r="L15" s="10"/>
      <c r="M15" s="11">
        <v>1</v>
      </c>
      <c r="N15" s="10"/>
      <c r="O15" s="84"/>
      <c r="P15" s="10"/>
      <c r="Q15" s="10"/>
      <c r="R15" s="106"/>
      <c r="S15" s="6"/>
      <c r="T15" s="6"/>
      <c r="U15" s="6"/>
      <c r="V15" s="10"/>
      <c r="W15" s="10"/>
      <c r="X15" s="10"/>
      <c r="Y15" s="10"/>
      <c r="Z15" s="10"/>
      <c r="AA15" s="6"/>
      <c r="AB15" s="6"/>
      <c r="AC15" s="6"/>
      <c r="AD15" s="6"/>
    </row>
    <row r="16" spans="1:30">
      <c r="B16" s="7">
        <f t="shared" si="0"/>
        <v>2022</v>
      </c>
      <c r="C16" s="7">
        <f t="shared" si="1"/>
        <v>1</v>
      </c>
      <c r="D16" s="7">
        <f t="shared" si="2"/>
        <v>3</v>
      </c>
      <c r="E16" s="8">
        <f t="shared" si="4"/>
        <v>44564</v>
      </c>
      <c r="F16" s="8">
        <f t="shared" si="5"/>
        <v>44570</v>
      </c>
      <c r="G16" s="7">
        <f t="shared" si="3"/>
        <v>2</v>
      </c>
      <c r="H16" s="84"/>
      <c r="I16" s="84"/>
      <c r="J16" s="84"/>
      <c r="K16" s="84"/>
      <c r="L16" s="10"/>
      <c r="M16" s="10"/>
      <c r="N16" s="10"/>
      <c r="O16" s="84"/>
      <c r="P16" s="10"/>
      <c r="Q16" s="10"/>
      <c r="R16" s="10"/>
      <c r="S16" s="6"/>
      <c r="T16" s="6"/>
      <c r="U16" s="6"/>
      <c r="V16" s="10"/>
      <c r="W16" s="10"/>
      <c r="X16" s="10"/>
      <c r="Y16" s="10"/>
      <c r="Z16" s="10"/>
      <c r="AA16" s="6"/>
      <c r="AB16" s="6"/>
      <c r="AC16" s="6"/>
      <c r="AD16" s="6"/>
    </row>
    <row r="17" spans="2:30">
      <c r="B17" s="7">
        <f t="shared" si="0"/>
        <v>2022</v>
      </c>
      <c r="C17" s="7">
        <f t="shared" si="1"/>
        <v>1</v>
      </c>
      <c r="D17" s="7">
        <f t="shared" si="2"/>
        <v>10</v>
      </c>
      <c r="E17" s="8">
        <f t="shared" si="4"/>
        <v>44571</v>
      </c>
      <c r="F17" s="8">
        <f t="shared" si="5"/>
        <v>44577</v>
      </c>
      <c r="G17" s="7">
        <f t="shared" si="3"/>
        <v>3</v>
      </c>
      <c r="H17" s="84"/>
      <c r="I17" s="84"/>
      <c r="J17" s="84"/>
      <c r="K17" s="84"/>
      <c r="L17" s="10"/>
      <c r="M17" s="10"/>
      <c r="N17" s="106"/>
      <c r="O17" s="84"/>
      <c r="P17" s="10"/>
      <c r="Q17" s="10"/>
      <c r="R17" s="10"/>
      <c r="S17" s="6"/>
      <c r="T17" s="6"/>
      <c r="U17" s="6"/>
      <c r="V17" s="10"/>
      <c r="W17" s="10"/>
      <c r="X17" s="10"/>
      <c r="Y17" s="10"/>
      <c r="Z17" s="10"/>
      <c r="AA17" s="6"/>
      <c r="AB17" s="6"/>
      <c r="AC17" s="6"/>
      <c r="AD17" s="6"/>
    </row>
    <row r="18" spans="2:30">
      <c r="B18" s="7">
        <f t="shared" si="0"/>
        <v>2022</v>
      </c>
      <c r="C18" s="7">
        <f t="shared" si="1"/>
        <v>1</v>
      </c>
      <c r="D18" s="7">
        <f t="shared" si="2"/>
        <v>17</v>
      </c>
      <c r="E18" s="8">
        <f t="shared" si="4"/>
        <v>44578</v>
      </c>
      <c r="F18" s="8">
        <f t="shared" si="5"/>
        <v>44584</v>
      </c>
      <c r="G18" s="7">
        <f t="shared" si="3"/>
        <v>4</v>
      </c>
      <c r="H18" s="84"/>
      <c r="I18" s="11">
        <v>1</v>
      </c>
      <c r="J18" s="11">
        <v>1</v>
      </c>
      <c r="K18" s="84"/>
      <c r="L18" s="10"/>
      <c r="M18" s="10"/>
      <c r="N18" s="10"/>
      <c r="O18" s="11">
        <v>1</v>
      </c>
      <c r="P18" s="10"/>
      <c r="Q18" s="10"/>
      <c r="R18" s="10"/>
      <c r="S18" s="6"/>
      <c r="T18" s="6"/>
      <c r="U18" s="6"/>
      <c r="V18" s="10"/>
      <c r="W18" s="10"/>
      <c r="X18" s="10"/>
      <c r="Y18" s="10"/>
      <c r="Z18" s="10"/>
      <c r="AA18" s="6"/>
      <c r="AB18" s="6"/>
      <c r="AC18" s="6"/>
      <c r="AD18" s="6"/>
    </row>
    <row r="19" spans="2:30">
      <c r="B19" s="7">
        <f t="shared" si="0"/>
        <v>2022</v>
      </c>
      <c r="C19" s="7">
        <f t="shared" si="1"/>
        <v>1</v>
      </c>
      <c r="D19" s="7">
        <f t="shared" si="2"/>
        <v>24</v>
      </c>
      <c r="E19" s="8">
        <f t="shared" si="4"/>
        <v>44585</v>
      </c>
      <c r="F19" s="8">
        <f t="shared" si="5"/>
        <v>44591</v>
      </c>
      <c r="G19" s="7">
        <f t="shared" si="3"/>
        <v>5</v>
      </c>
      <c r="H19" s="11">
        <v>1</v>
      </c>
      <c r="I19" s="10"/>
      <c r="J19" s="10"/>
      <c r="K19" s="11">
        <v>1</v>
      </c>
      <c r="L19" s="10"/>
      <c r="M19" s="10"/>
      <c r="N19" s="10"/>
      <c r="O19" s="10"/>
      <c r="P19" s="106"/>
      <c r="Q19" s="10"/>
      <c r="R19" s="10"/>
      <c r="S19" s="6"/>
      <c r="T19" s="6"/>
      <c r="U19" s="6"/>
      <c r="V19" s="10"/>
      <c r="W19" s="10"/>
      <c r="X19" s="10"/>
      <c r="Y19" s="10"/>
      <c r="Z19" s="10"/>
      <c r="AA19" s="6"/>
      <c r="AB19" s="6"/>
      <c r="AC19" s="6"/>
      <c r="AD19" s="6"/>
    </row>
    <row r="20" spans="2:30">
      <c r="B20" s="7">
        <f t="shared" si="0"/>
        <v>2022</v>
      </c>
      <c r="C20" s="7">
        <f t="shared" si="1"/>
        <v>1</v>
      </c>
      <c r="D20" s="7">
        <f t="shared" si="2"/>
        <v>31</v>
      </c>
      <c r="E20" s="8">
        <f t="shared" si="4"/>
        <v>44592</v>
      </c>
      <c r="F20" s="8">
        <f t="shared" si="5"/>
        <v>44598</v>
      </c>
      <c r="G20" s="7">
        <f t="shared" si="3"/>
        <v>6</v>
      </c>
      <c r="H20" s="10"/>
      <c r="I20" s="10"/>
      <c r="J20" s="106"/>
      <c r="K20" s="10"/>
      <c r="L20" s="106"/>
      <c r="M20" s="10"/>
      <c r="N20" s="10"/>
      <c r="O20" s="10"/>
      <c r="P20" s="10"/>
      <c r="Q20" s="10"/>
      <c r="R20" s="10"/>
      <c r="S20" s="6"/>
      <c r="T20" s="6"/>
      <c r="U20" s="6"/>
      <c r="V20" s="10"/>
      <c r="W20" s="10"/>
      <c r="X20" s="10"/>
      <c r="Y20" s="10"/>
      <c r="Z20" s="10"/>
      <c r="AA20" s="6"/>
      <c r="AB20" s="6"/>
      <c r="AC20" s="6"/>
      <c r="AD20" s="6"/>
    </row>
    <row r="21" spans="2:30">
      <c r="B21" s="7">
        <f t="shared" si="0"/>
        <v>2022</v>
      </c>
      <c r="C21" s="7">
        <f t="shared" si="1"/>
        <v>2</v>
      </c>
      <c r="D21" s="7">
        <f t="shared" si="2"/>
        <v>7</v>
      </c>
      <c r="E21" s="8">
        <f t="shared" si="4"/>
        <v>44599</v>
      </c>
      <c r="F21" s="8">
        <f t="shared" si="5"/>
        <v>44605</v>
      </c>
      <c r="G21" s="7">
        <f t="shared" si="3"/>
        <v>7</v>
      </c>
      <c r="H21" s="10"/>
      <c r="I21" s="10"/>
      <c r="J21" s="10"/>
      <c r="K21" s="106"/>
      <c r="L21" s="10"/>
      <c r="M21" s="10"/>
      <c r="N21" s="10"/>
      <c r="O21" s="10"/>
      <c r="P21" s="10"/>
      <c r="Q21" s="10"/>
      <c r="R21" s="10"/>
      <c r="S21" s="6"/>
      <c r="T21" s="6"/>
      <c r="U21" s="6"/>
      <c r="V21" s="10"/>
      <c r="W21" s="10"/>
      <c r="X21" s="10"/>
      <c r="Y21" s="10"/>
      <c r="Z21" s="10"/>
      <c r="AA21" s="6"/>
      <c r="AB21" s="6"/>
      <c r="AC21" s="6"/>
      <c r="AD21" s="6"/>
    </row>
    <row r="22" spans="2:30">
      <c r="B22" s="7">
        <f t="shared" si="0"/>
        <v>2022</v>
      </c>
      <c r="C22" s="7">
        <f t="shared" si="1"/>
        <v>2</v>
      </c>
      <c r="D22" s="7">
        <f t="shared" si="2"/>
        <v>14</v>
      </c>
      <c r="E22" s="8">
        <f t="shared" si="4"/>
        <v>44606</v>
      </c>
      <c r="F22" s="8">
        <f t="shared" si="5"/>
        <v>44612</v>
      </c>
      <c r="G22" s="7">
        <f t="shared" si="3"/>
        <v>8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6"/>
      <c r="T22" s="6"/>
      <c r="U22" s="6"/>
      <c r="V22" s="10"/>
      <c r="W22" s="10"/>
      <c r="X22" s="10"/>
      <c r="Y22" s="10"/>
      <c r="Z22" s="10"/>
      <c r="AA22" s="6"/>
      <c r="AB22" s="6"/>
      <c r="AC22" s="6"/>
      <c r="AD22" s="6"/>
    </row>
    <row r="23" spans="2:30">
      <c r="B23" s="7">
        <f t="shared" si="0"/>
        <v>2022</v>
      </c>
      <c r="C23" s="7">
        <f t="shared" si="1"/>
        <v>2</v>
      </c>
      <c r="D23" s="7">
        <f t="shared" si="2"/>
        <v>21</v>
      </c>
      <c r="E23" s="8">
        <f t="shared" si="4"/>
        <v>44613</v>
      </c>
      <c r="F23" s="8">
        <f t="shared" si="5"/>
        <v>44619</v>
      </c>
      <c r="G23" s="7">
        <f t="shared" si="3"/>
        <v>9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6"/>
      <c r="T23" s="6"/>
      <c r="U23" s="6"/>
      <c r="V23" s="10"/>
      <c r="W23" s="10"/>
      <c r="X23" s="10"/>
      <c r="Y23" s="10"/>
      <c r="Z23" s="10"/>
      <c r="AA23" s="6"/>
      <c r="AB23" s="6"/>
      <c r="AC23" s="6"/>
      <c r="AD23" s="6"/>
    </row>
    <row r="24" spans="2:30">
      <c r="B24" s="7">
        <f t="shared" si="0"/>
        <v>2022</v>
      </c>
      <c r="C24" s="7">
        <f t="shared" si="1"/>
        <v>2</v>
      </c>
      <c r="D24" s="7">
        <f t="shared" si="2"/>
        <v>28</v>
      </c>
      <c r="E24" s="8">
        <f t="shared" si="4"/>
        <v>44620</v>
      </c>
      <c r="F24" s="8">
        <f t="shared" si="5"/>
        <v>44626</v>
      </c>
      <c r="G24" s="7">
        <f t="shared" si="3"/>
        <v>10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6"/>
      <c r="T24" s="6"/>
      <c r="U24" s="6"/>
      <c r="V24" s="10"/>
      <c r="W24" s="10"/>
      <c r="X24" s="10"/>
      <c r="Y24" s="10"/>
      <c r="Z24" s="10"/>
      <c r="AA24" s="6"/>
      <c r="AB24" s="6"/>
      <c r="AC24" s="6"/>
      <c r="AD24" s="6"/>
    </row>
    <row r="25" spans="2:30">
      <c r="B25" s="7">
        <f t="shared" si="0"/>
        <v>2022</v>
      </c>
      <c r="C25" s="7">
        <f t="shared" si="1"/>
        <v>3</v>
      </c>
      <c r="D25" s="7">
        <f t="shared" si="2"/>
        <v>7</v>
      </c>
      <c r="E25" s="8">
        <f t="shared" si="4"/>
        <v>44627</v>
      </c>
      <c r="F25" s="8">
        <f t="shared" si="5"/>
        <v>44633</v>
      </c>
      <c r="G25" s="7">
        <f t="shared" si="3"/>
        <v>11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6"/>
      <c r="T25" s="6"/>
      <c r="U25" s="6"/>
      <c r="V25" s="10"/>
      <c r="W25" s="10"/>
      <c r="X25" s="10"/>
      <c r="Y25" s="10"/>
      <c r="Z25" s="10"/>
      <c r="AA25" s="6"/>
      <c r="AB25" s="6"/>
      <c r="AC25" s="6"/>
      <c r="AD25" s="6"/>
    </row>
    <row r="26" spans="2:30">
      <c r="B26" s="7">
        <f t="shared" si="0"/>
        <v>2022</v>
      </c>
      <c r="C26" s="7">
        <f t="shared" si="1"/>
        <v>3</v>
      </c>
      <c r="D26" s="7">
        <f t="shared" si="2"/>
        <v>14</v>
      </c>
      <c r="E26" s="8">
        <f t="shared" si="4"/>
        <v>44634</v>
      </c>
      <c r="F26" s="8">
        <f t="shared" si="5"/>
        <v>44640</v>
      </c>
      <c r="G26" s="7">
        <f t="shared" si="3"/>
        <v>12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6"/>
      <c r="T26" s="6"/>
      <c r="U26" s="6"/>
      <c r="V26" s="10"/>
      <c r="W26" s="10"/>
      <c r="X26" s="10"/>
      <c r="Y26" s="10"/>
      <c r="Z26" s="10"/>
      <c r="AA26" s="6"/>
      <c r="AB26" s="6"/>
      <c r="AC26" s="6"/>
      <c r="AD26" s="6"/>
    </row>
    <row r="27" spans="2:30">
      <c r="B27" s="7">
        <f t="shared" si="0"/>
        <v>2022</v>
      </c>
      <c r="C27" s="7">
        <f t="shared" si="1"/>
        <v>3</v>
      </c>
      <c r="D27" s="7">
        <f t="shared" si="2"/>
        <v>21</v>
      </c>
      <c r="E27" s="8">
        <f t="shared" si="4"/>
        <v>44641</v>
      </c>
      <c r="F27" s="8">
        <f t="shared" si="5"/>
        <v>44647</v>
      </c>
      <c r="G27" s="7">
        <f t="shared" si="3"/>
        <v>13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6"/>
      <c r="T27" s="6"/>
      <c r="U27" s="6"/>
      <c r="V27" s="10"/>
      <c r="W27" s="10"/>
      <c r="X27" s="10"/>
      <c r="Y27" s="10"/>
      <c r="Z27" s="10"/>
      <c r="AA27" s="6"/>
      <c r="AB27" s="6"/>
      <c r="AC27" s="6"/>
      <c r="AD27" s="6"/>
    </row>
    <row r="28" spans="2:30">
      <c r="B28" s="7">
        <f t="shared" si="0"/>
        <v>2022</v>
      </c>
      <c r="C28" s="7">
        <f t="shared" si="1"/>
        <v>3</v>
      </c>
      <c r="D28" s="7">
        <f t="shared" si="2"/>
        <v>28</v>
      </c>
      <c r="E28" s="8">
        <f t="shared" si="4"/>
        <v>44648</v>
      </c>
      <c r="F28" s="8">
        <f t="shared" si="5"/>
        <v>44654</v>
      </c>
      <c r="G28" s="7">
        <f t="shared" si="3"/>
        <v>14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6"/>
      <c r="T28" s="6"/>
      <c r="U28" s="6"/>
      <c r="V28" s="10"/>
      <c r="W28" s="10"/>
      <c r="X28" s="10"/>
      <c r="Y28" s="10"/>
      <c r="Z28" s="10"/>
      <c r="AA28" s="6"/>
      <c r="AB28" s="6"/>
      <c r="AC28" s="6"/>
      <c r="AD28" s="6"/>
    </row>
    <row r="29" spans="2:30">
      <c r="B29" s="7">
        <f t="shared" si="0"/>
        <v>2022</v>
      </c>
      <c r="C29" s="7">
        <f t="shared" si="1"/>
        <v>4</v>
      </c>
      <c r="D29" s="7">
        <f t="shared" si="2"/>
        <v>4</v>
      </c>
      <c r="E29" s="8">
        <f t="shared" si="4"/>
        <v>44655</v>
      </c>
      <c r="F29" s="8">
        <f t="shared" si="5"/>
        <v>44661</v>
      </c>
      <c r="G29" s="7">
        <f t="shared" si="3"/>
        <v>15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6"/>
      <c r="T29" s="6"/>
      <c r="U29" s="6"/>
      <c r="V29" s="10"/>
      <c r="W29" s="10"/>
      <c r="X29" s="10"/>
      <c r="Y29" s="10"/>
      <c r="Z29" s="10"/>
      <c r="AA29" s="6"/>
      <c r="AB29" s="6"/>
      <c r="AC29" s="6"/>
      <c r="AD29" s="6"/>
    </row>
    <row r="30" spans="2:30">
      <c r="B30" s="7">
        <f t="shared" si="0"/>
        <v>2022</v>
      </c>
      <c r="C30" s="7">
        <f t="shared" si="1"/>
        <v>4</v>
      </c>
      <c r="D30" s="7">
        <f t="shared" si="2"/>
        <v>11</v>
      </c>
      <c r="E30" s="8">
        <f t="shared" si="4"/>
        <v>44662</v>
      </c>
      <c r="F30" s="8">
        <f t="shared" si="5"/>
        <v>44668</v>
      </c>
      <c r="G30" s="7">
        <f t="shared" si="3"/>
        <v>16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6"/>
      <c r="T30" s="6"/>
      <c r="U30" s="6"/>
      <c r="V30" s="10"/>
      <c r="W30" s="10"/>
      <c r="X30" s="10"/>
      <c r="Y30" s="10"/>
      <c r="Z30" s="10"/>
      <c r="AA30" s="6"/>
      <c r="AB30" s="6"/>
      <c r="AC30" s="6"/>
      <c r="AD30" s="6"/>
    </row>
    <row r="31" spans="2:30">
      <c r="B31" s="7">
        <f t="shared" si="0"/>
        <v>2022</v>
      </c>
      <c r="C31" s="7">
        <f t="shared" si="1"/>
        <v>4</v>
      </c>
      <c r="D31" s="7">
        <f t="shared" si="2"/>
        <v>18</v>
      </c>
      <c r="E31" s="8">
        <f t="shared" si="4"/>
        <v>44669</v>
      </c>
      <c r="F31" s="8">
        <f t="shared" si="5"/>
        <v>44675</v>
      </c>
      <c r="G31" s="7">
        <f t="shared" si="3"/>
        <v>17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6"/>
      <c r="T31" s="6"/>
      <c r="U31" s="6"/>
      <c r="V31" s="10"/>
      <c r="W31" s="10"/>
      <c r="X31" s="10"/>
      <c r="Y31" s="10"/>
      <c r="Z31" s="10"/>
      <c r="AA31" s="6"/>
      <c r="AB31" s="6"/>
      <c r="AC31" s="6"/>
      <c r="AD31" s="6"/>
    </row>
    <row r="32" spans="2:30">
      <c r="B32" s="7">
        <f t="shared" si="0"/>
        <v>2022</v>
      </c>
      <c r="C32" s="7">
        <f t="shared" si="1"/>
        <v>4</v>
      </c>
      <c r="D32" s="7">
        <f t="shared" si="2"/>
        <v>25</v>
      </c>
      <c r="E32" s="8">
        <f t="shared" si="4"/>
        <v>44676</v>
      </c>
      <c r="F32" s="8">
        <f t="shared" si="5"/>
        <v>44682</v>
      </c>
      <c r="G32" s="7">
        <f t="shared" si="3"/>
        <v>18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6"/>
      <c r="T32" s="6"/>
      <c r="U32" s="6"/>
      <c r="V32" s="10"/>
      <c r="W32" s="10"/>
      <c r="X32" s="10"/>
      <c r="Y32" s="10"/>
      <c r="Z32" s="10"/>
      <c r="AA32" s="6"/>
      <c r="AB32" s="6"/>
      <c r="AC32" s="6"/>
      <c r="AD32" s="6"/>
    </row>
    <row r="33" spans="2:30">
      <c r="B33" s="7">
        <f t="shared" si="0"/>
        <v>2022</v>
      </c>
      <c r="C33" s="7">
        <f t="shared" si="1"/>
        <v>5</v>
      </c>
      <c r="D33" s="7">
        <f t="shared" si="2"/>
        <v>2</v>
      </c>
      <c r="E33" s="8">
        <f t="shared" si="4"/>
        <v>44683</v>
      </c>
      <c r="F33" s="8">
        <f t="shared" si="5"/>
        <v>44689</v>
      </c>
      <c r="G33" s="7">
        <f t="shared" si="3"/>
        <v>19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6"/>
      <c r="T33" s="6"/>
      <c r="U33" s="6"/>
      <c r="V33" s="10"/>
      <c r="W33" s="10"/>
      <c r="X33" s="10"/>
      <c r="Y33" s="10"/>
      <c r="Z33" s="10"/>
      <c r="AA33" s="6"/>
      <c r="AB33" s="6"/>
      <c r="AC33" s="6"/>
      <c r="AD33" s="6"/>
    </row>
    <row r="34" spans="2:30">
      <c r="B34" s="7">
        <f t="shared" si="0"/>
        <v>2022</v>
      </c>
      <c r="C34" s="7">
        <f t="shared" si="1"/>
        <v>5</v>
      </c>
      <c r="D34" s="7">
        <f t="shared" si="2"/>
        <v>9</v>
      </c>
      <c r="E34" s="8">
        <f t="shared" si="4"/>
        <v>44690</v>
      </c>
      <c r="F34" s="8">
        <f t="shared" si="5"/>
        <v>44696</v>
      </c>
      <c r="G34" s="7">
        <f t="shared" si="3"/>
        <v>20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6"/>
      <c r="T34" s="6"/>
      <c r="U34" s="6"/>
      <c r="V34" s="10"/>
      <c r="W34" s="10"/>
      <c r="X34" s="10"/>
      <c r="Y34" s="10"/>
      <c r="Z34" s="10"/>
      <c r="AA34" s="6"/>
      <c r="AB34" s="6"/>
      <c r="AC34" s="6"/>
      <c r="AD34" s="6"/>
    </row>
    <row r="35" spans="2:30">
      <c r="B35" s="7">
        <f t="shared" si="0"/>
        <v>2022</v>
      </c>
      <c r="C35" s="7">
        <f t="shared" si="1"/>
        <v>5</v>
      </c>
      <c r="D35" s="7">
        <f t="shared" si="2"/>
        <v>16</v>
      </c>
      <c r="E35" s="8">
        <f t="shared" si="4"/>
        <v>44697</v>
      </c>
      <c r="F35" s="8">
        <f t="shared" si="5"/>
        <v>44703</v>
      </c>
      <c r="G35" s="7">
        <f t="shared" si="3"/>
        <v>21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6"/>
      <c r="T35" s="6"/>
      <c r="U35" s="6"/>
      <c r="V35" s="10"/>
      <c r="W35" s="10"/>
      <c r="X35" s="10"/>
      <c r="Y35" s="10"/>
      <c r="Z35" s="10"/>
      <c r="AA35" s="6"/>
      <c r="AB35" s="6"/>
      <c r="AC35" s="6"/>
      <c r="AD35" s="6"/>
    </row>
    <row r="36" spans="2:30">
      <c r="B36" s="7">
        <f t="shared" si="0"/>
        <v>2022</v>
      </c>
      <c r="C36" s="7">
        <f t="shared" si="1"/>
        <v>5</v>
      </c>
      <c r="D36" s="7">
        <f t="shared" si="2"/>
        <v>23</v>
      </c>
      <c r="E36" s="8">
        <f t="shared" si="4"/>
        <v>44704</v>
      </c>
      <c r="F36" s="8">
        <f t="shared" si="5"/>
        <v>44710</v>
      </c>
      <c r="G36" s="7">
        <f t="shared" si="3"/>
        <v>22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6"/>
      <c r="T36" s="6"/>
      <c r="U36" s="6"/>
      <c r="V36" s="10"/>
      <c r="W36" s="10"/>
      <c r="X36" s="10"/>
      <c r="Y36" s="10"/>
      <c r="Z36" s="10"/>
      <c r="AA36" s="6"/>
      <c r="AB36" s="6"/>
      <c r="AC36" s="6"/>
      <c r="AD36" s="6"/>
    </row>
    <row r="37" spans="2:30">
      <c r="B37" s="7">
        <f t="shared" si="0"/>
        <v>2022</v>
      </c>
      <c r="C37" s="7">
        <f t="shared" si="1"/>
        <v>5</v>
      </c>
      <c r="D37" s="7">
        <f t="shared" si="2"/>
        <v>30</v>
      </c>
      <c r="E37" s="8">
        <f t="shared" si="4"/>
        <v>44711</v>
      </c>
      <c r="F37" s="8">
        <f t="shared" si="5"/>
        <v>44717</v>
      </c>
      <c r="G37" s="7">
        <f t="shared" si="3"/>
        <v>23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6"/>
      <c r="T37" s="6"/>
      <c r="U37" s="6"/>
      <c r="V37" s="10"/>
      <c r="W37" s="10"/>
      <c r="X37" s="10"/>
      <c r="Y37" s="10"/>
      <c r="Z37" s="10"/>
      <c r="AA37" s="6"/>
      <c r="AB37" s="6"/>
      <c r="AC37" s="6"/>
      <c r="AD37" s="6"/>
    </row>
    <row r="38" spans="2:30">
      <c r="B38" s="7">
        <f t="shared" si="0"/>
        <v>2022</v>
      </c>
      <c r="C38" s="7">
        <f t="shared" si="1"/>
        <v>6</v>
      </c>
      <c r="D38" s="7">
        <f t="shared" si="2"/>
        <v>6</v>
      </c>
      <c r="E38" s="8">
        <f t="shared" si="4"/>
        <v>44718</v>
      </c>
      <c r="F38" s="8">
        <f t="shared" si="5"/>
        <v>44724</v>
      </c>
      <c r="G38" s="7">
        <f t="shared" si="3"/>
        <v>24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6"/>
      <c r="T38" s="6"/>
      <c r="U38" s="6"/>
      <c r="V38" s="10"/>
      <c r="W38" s="10"/>
      <c r="X38" s="10"/>
      <c r="Y38" s="10"/>
      <c r="Z38" s="10"/>
      <c r="AA38" s="6"/>
      <c r="AB38" s="6"/>
      <c r="AC38" s="6"/>
      <c r="AD38" s="6"/>
    </row>
    <row r="39" spans="2:30">
      <c r="B39" s="7">
        <f t="shared" si="0"/>
        <v>2022</v>
      </c>
      <c r="C39" s="7">
        <f t="shared" si="1"/>
        <v>6</v>
      </c>
      <c r="D39" s="7">
        <f t="shared" si="2"/>
        <v>13</v>
      </c>
      <c r="E39" s="8">
        <f t="shared" si="4"/>
        <v>44725</v>
      </c>
      <c r="F39" s="8">
        <f t="shared" si="5"/>
        <v>44731</v>
      </c>
      <c r="G39" s="7">
        <f t="shared" si="3"/>
        <v>25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6"/>
      <c r="T39" s="6"/>
      <c r="U39" s="6"/>
      <c r="V39" s="10"/>
      <c r="W39" s="10"/>
      <c r="X39" s="10"/>
      <c r="Y39" s="10"/>
      <c r="Z39" s="10"/>
      <c r="AA39" s="6"/>
      <c r="AB39" s="6"/>
      <c r="AC39" s="6"/>
      <c r="AD39" s="6"/>
    </row>
    <row r="40" spans="2:30">
      <c r="B40" s="7">
        <f t="shared" si="0"/>
        <v>2022</v>
      </c>
      <c r="C40" s="7">
        <f t="shared" si="1"/>
        <v>6</v>
      </c>
      <c r="D40" s="7">
        <f t="shared" si="2"/>
        <v>20</v>
      </c>
      <c r="E40" s="8">
        <f t="shared" si="4"/>
        <v>44732</v>
      </c>
      <c r="F40" s="8">
        <f t="shared" si="5"/>
        <v>44738</v>
      </c>
      <c r="G40" s="7">
        <f t="shared" si="3"/>
        <v>26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6"/>
      <c r="T40" s="6"/>
      <c r="U40" s="6"/>
      <c r="V40" s="10"/>
      <c r="W40" s="10"/>
      <c r="X40" s="10"/>
      <c r="Y40" s="10"/>
      <c r="Z40" s="10"/>
      <c r="AA40" s="6"/>
      <c r="AB40" s="6"/>
      <c r="AC40" s="6"/>
      <c r="AD40" s="6"/>
    </row>
    <row r="41" spans="2:30">
      <c r="B41" s="7">
        <f t="shared" si="0"/>
        <v>2022</v>
      </c>
      <c r="C41" s="7">
        <f t="shared" si="1"/>
        <v>6</v>
      </c>
      <c r="D41" s="7">
        <f t="shared" si="2"/>
        <v>27</v>
      </c>
      <c r="E41" s="8">
        <f t="shared" si="4"/>
        <v>44739</v>
      </c>
      <c r="F41" s="8">
        <f t="shared" si="5"/>
        <v>44745</v>
      </c>
      <c r="G41" s="7">
        <f t="shared" si="3"/>
        <v>27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6"/>
      <c r="T41" s="6"/>
      <c r="U41" s="6"/>
      <c r="V41" s="10"/>
      <c r="W41" s="10"/>
      <c r="X41" s="10"/>
      <c r="Y41" s="10"/>
      <c r="Z41" s="10"/>
      <c r="AA41" s="6"/>
      <c r="AB41" s="6"/>
      <c r="AC41" s="6"/>
      <c r="AD41" s="6"/>
    </row>
    <row r="42" spans="2:30">
      <c r="B42" s="7">
        <f t="shared" si="0"/>
        <v>2022</v>
      </c>
      <c r="C42" s="7">
        <f t="shared" si="1"/>
        <v>7</v>
      </c>
      <c r="D42" s="7">
        <f t="shared" si="2"/>
        <v>4</v>
      </c>
      <c r="E42" s="8">
        <f t="shared" si="4"/>
        <v>44746</v>
      </c>
      <c r="F42" s="8">
        <f t="shared" si="5"/>
        <v>44752</v>
      </c>
      <c r="G42" s="7">
        <f t="shared" si="3"/>
        <v>28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6"/>
      <c r="T42" s="6"/>
      <c r="U42" s="6"/>
      <c r="V42" s="10"/>
      <c r="W42" s="10"/>
      <c r="X42" s="10"/>
      <c r="Y42" s="10"/>
      <c r="Z42" s="10"/>
      <c r="AA42" s="6"/>
      <c r="AB42" s="6"/>
      <c r="AC42" s="6"/>
      <c r="AD42" s="6"/>
    </row>
    <row r="43" spans="2:30">
      <c r="B43" s="7">
        <f t="shared" si="0"/>
        <v>2022</v>
      </c>
      <c r="C43" s="7">
        <f t="shared" si="1"/>
        <v>7</v>
      </c>
      <c r="D43" s="7">
        <f t="shared" si="2"/>
        <v>11</v>
      </c>
      <c r="E43" s="8">
        <f t="shared" si="4"/>
        <v>44753</v>
      </c>
      <c r="F43" s="8">
        <f t="shared" si="5"/>
        <v>44759</v>
      </c>
      <c r="G43" s="7">
        <f t="shared" si="3"/>
        <v>29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6"/>
      <c r="T43" s="6"/>
      <c r="U43" s="6"/>
      <c r="V43" s="10"/>
      <c r="W43" s="10"/>
      <c r="X43" s="10"/>
      <c r="Y43" s="10"/>
      <c r="Z43" s="10"/>
      <c r="AA43" s="6"/>
      <c r="AB43" s="6"/>
      <c r="AC43" s="6"/>
      <c r="AD43" s="6"/>
    </row>
    <row r="44" spans="2:30">
      <c r="B44" s="7">
        <f t="shared" si="0"/>
        <v>2022</v>
      </c>
      <c r="C44" s="7">
        <f t="shared" si="1"/>
        <v>7</v>
      </c>
      <c r="D44" s="7">
        <f t="shared" si="2"/>
        <v>18</v>
      </c>
      <c r="E44" s="8">
        <f t="shared" si="4"/>
        <v>44760</v>
      </c>
      <c r="F44" s="8">
        <f t="shared" si="5"/>
        <v>44766</v>
      </c>
      <c r="G44" s="7">
        <f t="shared" si="3"/>
        <v>30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6"/>
      <c r="T44" s="6"/>
      <c r="U44" s="6"/>
      <c r="V44" s="10"/>
      <c r="W44" s="10"/>
      <c r="X44" s="10"/>
      <c r="Y44" s="10"/>
      <c r="Z44" s="10"/>
      <c r="AA44" s="6"/>
      <c r="AB44" s="6"/>
      <c r="AC44" s="6"/>
      <c r="AD44" s="6"/>
    </row>
    <row r="45" spans="2:30">
      <c r="B45" s="7">
        <f t="shared" si="0"/>
        <v>2022</v>
      </c>
      <c r="C45" s="7">
        <f t="shared" si="1"/>
        <v>7</v>
      </c>
      <c r="D45" s="7">
        <f t="shared" si="2"/>
        <v>25</v>
      </c>
      <c r="E45" s="8">
        <f t="shared" si="4"/>
        <v>44767</v>
      </c>
      <c r="F45" s="8">
        <f t="shared" si="5"/>
        <v>44773</v>
      </c>
      <c r="G45" s="7">
        <f t="shared" si="3"/>
        <v>31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6"/>
      <c r="T45" s="6"/>
      <c r="U45" s="6"/>
      <c r="V45" s="10"/>
      <c r="W45" s="10"/>
      <c r="X45" s="10"/>
      <c r="Y45" s="10"/>
      <c r="Z45" s="10"/>
      <c r="AA45" s="6"/>
      <c r="AB45" s="6"/>
      <c r="AC45" s="6"/>
      <c r="AD45" s="6"/>
    </row>
    <row r="46" spans="2:30">
      <c r="B46" s="7">
        <f t="shared" si="0"/>
        <v>2022</v>
      </c>
      <c r="C46" s="7">
        <f t="shared" si="1"/>
        <v>8</v>
      </c>
      <c r="D46" s="7">
        <f t="shared" si="2"/>
        <v>1</v>
      </c>
      <c r="E46" s="8">
        <f t="shared" si="4"/>
        <v>44774</v>
      </c>
      <c r="F46" s="8">
        <f t="shared" si="5"/>
        <v>44780</v>
      </c>
      <c r="G46" s="7">
        <f t="shared" si="3"/>
        <v>32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6"/>
      <c r="T46" s="6"/>
      <c r="U46" s="6"/>
      <c r="V46" s="10"/>
      <c r="W46" s="10"/>
      <c r="X46" s="10"/>
      <c r="Y46" s="10"/>
      <c r="Z46" s="10"/>
      <c r="AA46" s="6"/>
      <c r="AB46" s="6"/>
      <c r="AC46" s="6"/>
      <c r="AD46" s="6"/>
    </row>
    <row r="47" spans="2:30">
      <c r="B47" s="7">
        <f t="shared" si="0"/>
        <v>2022</v>
      </c>
      <c r="C47" s="7">
        <f t="shared" si="1"/>
        <v>8</v>
      </c>
      <c r="D47" s="7">
        <f t="shared" si="2"/>
        <v>8</v>
      </c>
      <c r="E47" s="8">
        <f t="shared" si="4"/>
        <v>44781</v>
      </c>
      <c r="F47" s="8">
        <f t="shared" si="5"/>
        <v>44787</v>
      </c>
      <c r="G47" s="7">
        <f t="shared" si="3"/>
        <v>33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6"/>
      <c r="T47" s="6"/>
      <c r="U47" s="6"/>
      <c r="V47" s="10"/>
      <c r="W47" s="10"/>
      <c r="X47" s="10"/>
      <c r="Y47" s="10"/>
      <c r="Z47" s="10"/>
      <c r="AA47" s="6"/>
      <c r="AB47" s="6"/>
      <c r="AC47" s="6"/>
      <c r="AD47" s="6"/>
    </row>
    <row r="48" spans="2:30">
      <c r="B48" s="7">
        <f t="shared" si="0"/>
        <v>2022</v>
      </c>
      <c r="C48" s="7">
        <f t="shared" si="1"/>
        <v>8</v>
      </c>
      <c r="D48" s="7">
        <f t="shared" si="2"/>
        <v>15</v>
      </c>
      <c r="E48" s="8">
        <f t="shared" si="4"/>
        <v>44788</v>
      </c>
      <c r="F48" s="8">
        <f t="shared" si="5"/>
        <v>44794</v>
      </c>
      <c r="G48" s="7">
        <f t="shared" si="3"/>
        <v>34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6"/>
      <c r="T48" s="6"/>
      <c r="U48" s="6"/>
      <c r="V48" s="10"/>
      <c r="W48" s="10"/>
      <c r="X48" s="10"/>
      <c r="Y48" s="10"/>
      <c r="Z48" s="10"/>
      <c r="AA48" s="6"/>
      <c r="AB48" s="6"/>
      <c r="AC48" s="6"/>
      <c r="AD48" s="6"/>
    </row>
    <row r="49" spans="2:30">
      <c r="B49" s="7">
        <f t="shared" si="0"/>
        <v>2022</v>
      </c>
      <c r="C49" s="7">
        <f t="shared" si="1"/>
        <v>8</v>
      </c>
      <c r="D49" s="7">
        <f t="shared" si="2"/>
        <v>22</v>
      </c>
      <c r="E49" s="8">
        <f t="shared" si="4"/>
        <v>44795</v>
      </c>
      <c r="F49" s="8">
        <f t="shared" si="5"/>
        <v>44801</v>
      </c>
      <c r="G49" s="7">
        <f t="shared" si="3"/>
        <v>35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6"/>
      <c r="T49" s="6"/>
      <c r="U49" s="6"/>
      <c r="V49" s="10"/>
      <c r="W49" s="10"/>
      <c r="X49" s="10"/>
      <c r="Y49" s="10"/>
      <c r="Z49" s="10"/>
      <c r="AA49" s="6"/>
      <c r="AB49" s="6"/>
      <c r="AC49" s="6"/>
      <c r="AD49" s="6"/>
    </row>
    <row r="50" spans="2:30">
      <c r="B50" s="7">
        <f t="shared" si="0"/>
        <v>2022</v>
      </c>
      <c r="C50" s="7">
        <f t="shared" si="1"/>
        <v>8</v>
      </c>
      <c r="D50" s="7">
        <f t="shared" si="2"/>
        <v>29</v>
      </c>
      <c r="E50" s="8">
        <f t="shared" si="4"/>
        <v>44802</v>
      </c>
      <c r="F50" s="8">
        <f t="shared" si="5"/>
        <v>44808</v>
      </c>
      <c r="G50" s="7">
        <f t="shared" si="3"/>
        <v>36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6"/>
      <c r="T50" s="6"/>
      <c r="U50" s="6"/>
      <c r="V50" s="10"/>
      <c r="W50" s="10"/>
      <c r="X50" s="10"/>
      <c r="Y50" s="10"/>
      <c r="Z50" s="10"/>
      <c r="AA50" s="6"/>
      <c r="AB50" s="6"/>
      <c r="AC50" s="6"/>
      <c r="AD50" s="6"/>
    </row>
    <row r="51" spans="2:30">
      <c r="B51" s="7">
        <f t="shared" si="0"/>
        <v>2022</v>
      </c>
      <c r="C51" s="7">
        <f t="shared" si="1"/>
        <v>9</v>
      </c>
      <c r="D51" s="7">
        <f t="shared" si="2"/>
        <v>5</v>
      </c>
      <c r="E51" s="8">
        <f t="shared" si="4"/>
        <v>44809</v>
      </c>
      <c r="F51" s="8">
        <f t="shared" si="5"/>
        <v>44815</v>
      </c>
      <c r="G51" s="7">
        <f t="shared" si="3"/>
        <v>37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6"/>
      <c r="T51" s="6"/>
      <c r="U51" s="6"/>
      <c r="V51" s="10"/>
      <c r="W51" s="10"/>
      <c r="X51" s="10"/>
      <c r="Y51" s="10"/>
      <c r="Z51" s="10"/>
      <c r="AA51" s="6"/>
      <c r="AB51" s="6"/>
      <c r="AC51" s="6"/>
      <c r="AD51" s="6"/>
    </row>
    <row r="52" spans="2:30">
      <c r="B52" s="7">
        <f t="shared" si="0"/>
        <v>2022</v>
      </c>
      <c r="C52" s="7">
        <f t="shared" si="1"/>
        <v>9</v>
      </c>
      <c r="D52" s="7">
        <f t="shared" si="2"/>
        <v>12</v>
      </c>
      <c r="E52" s="8">
        <f t="shared" si="4"/>
        <v>44816</v>
      </c>
      <c r="F52" s="8">
        <f t="shared" si="5"/>
        <v>44822</v>
      </c>
      <c r="G52" s="7">
        <f t="shared" si="3"/>
        <v>38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6"/>
      <c r="T52" s="6"/>
      <c r="U52" s="6"/>
      <c r="V52" s="10"/>
      <c r="W52" s="10"/>
      <c r="X52" s="10"/>
      <c r="Y52" s="10"/>
      <c r="Z52" s="10"/>
      <c r="AA52" s="6"/>
      <c r="AB52" s="6"/>
      <c r="AC52" s="6"/>
      <c r="AD52" s="6"/>
    </row>
    <row r="53" spans="2:30">
      <c r="B53" s="7">
        <f t="shared" si="0"/>
        <v>2022</v>
      </c>
      <c r="C53" s="7">
        <f t="shared" si="1"/>
        <v>9</v>
      </c>
      <c r="D53" s="7">
        <f t="shared" si="2"/>
        <v>19</v>
      </c>
      <c r="E53" s="8">
        <f t="shared" si="4"/>
        <v>44823</v>
      </c>
      <c r="F53" s="8">
        <f t="shared" si="5"/>
        <v>44829</v>
      </c>
      <c r="G53" s="7">
        <f t="shared" si="3"/>
        <v>39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6"/>
      <c r="T53" s="6"/>
      <c r="U53" s="6"/>
      <c r="V53" s="10"/>
      <c r="W53" s="10"/>
      <c r="X53" s="10"/>
      <c r="Y53" s="10"/>
      <c r="Z53" s="10"/>
      <c r="AA53" s="6"/>
      <c r="AB53" s="6"/>
      <c r="AC53" s="6"/>
      <c r="AD53" s="6"/>
    </row>
    <row r="54" spans="2:30">
      <c r="B54" s="7">
        <f t="shared" si="0"/>
        <v>2022</v>
      </c>
      <c r="C54" s="7">
        <f t="shared" si="1"/>
        <v>9</v>
      </c>
      <c r="D54" s="7">
        <f t="shared" si="2"/>
        <v>26</v>
      </c>
      <c r="E54" s="8">
        <f t="shared" si="4"/>
        <v>44830</v>
      </c>
      <c r="F54" s="8">
        <f t="shared" si="5"/>
        <v>44836</v>
      </c>
      <c r="G54" s="7">
        <f t="shared" si="3"/>
        <v>40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6"/>
      <c r="T54" s="6"/>
      <c r="U54" s="6"/>
      <c r="V54" s="10"/>
      <c r="W54" s="10"/>
      <c r="X54" s="10"/>
      <c r="Y54" s="10"/>
      <c r="Z54" s="10"/>
      <c r="AA54" s="6"/>
      <c r="AB54" s="6"/>
      <c r="AC54" s="6"/>
      <c r="AD54" s="6"/>
    </row>
    <row r="55" spans="2:30">
      <c r="B55" s="7">
        <f t="shared" si="0"/>
        <v>2022</v>
      </c>
      <c r="C55" s="7">
        <f t="shared" si="1"/>
        <v>10</v>
      </c>
      <c r="D55" s="7">
        <f t="shared" si="2"/>
        <v>3</v>
      </c>
      <c r="E55" s="8">
        <f t="shared" si="4"/>
        <v>44837</v>
      </c>
      <c r="F55" s="8">
        <f t="shared" si="5"/>
        <v>44843</v>
      </c>
      <c r="G55" s="7">
        <f t="shared" si="3"/>
        <v>41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6"/>
      <c r="T55" s="6"/>
      <c r="U55" s="6"/>
      <c r="V55" s="10"/>
      <c r="W55" s="10"/>
      <c r="X55" s="10"/>
      <c r="Y55" s="10"/>
      <c r="Z55" s="10"/>
      <c r="AA55" s="6"/>
      <c r="AB55" s="6"/>
      <c r="AC55" s="6"/>
      <c r="AD55" s="6"/>
    </row>
    <row r="56" spans="2:30">
      <c r="B56" s="7">
        <f t="shared" si="0"/>
        <v>2022</v>
      </c>
      <c r="C56" s="7">
        <f t="shared" si="1"/>
        <v>10</v>
      </c>
      <c r="D56" s="7">
        <f t="shared" si="2"/>
        <v>10</v>
      </c>
      <c r="E56" s="8">
        <f t="shared" si="4"/>
        <v>44844</v>
      </c>
      <c r="F56" s="8">
        <f t="shared" si="5"/>
        <v>44850</v>
      </c>
      <c r="G56" s="7">
        <f t="shared" si="3"/>
        <v>42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6"/>
      <c r="T56" s="6"/>
      <c r="U56" s="6"/>
      <c r="V56" s="10"/>
      <c r="W56" s="10"/>
      <c r="X56" s="10"/>
      <c r="Y56" s="10"/>
      <c r="Z56" s="10"/>
      <c r="AA56" s="6"/>
      <c r="AB56" s="6"/>
      <c r="AC56" s="6"/>
      <c r="AD56" s="6"/>
    </row>
    <row r="57" spans="2:30">
      <c r="B57" s="7">
        <f t="shared" si="0"/>
        <v>2022</v>
      </c>
      <c r="C57" s="7">
        <f t="shared" si="1"/>
        <v>10</v>
      </c>
      <c r="D57" s="7">
        <f t="shared" si="2"/>
        <v>17</v>
      </c>
      <c r="E57" s="8">
        <f t="shared" si="4"/>
        <v>44851</v>
      </c>
      <c r="F57" s="8">
        <f t="shared" si="5"/>
        <v>44857</v>
      </c>
      <c r="G57" s="7">
        <f t="shared" si="3"/>
        <v>43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6"/>
      <c r="T57" s="6"/>
      <c r="U57" s="6"/>
      <c r="V57" s="10"/>
      <c r="W57" s="10"/>
      <c r="X57" s="10"/>
      <c r="Y57" s="10"/>
      <c r="Z57" s="10"/>
      <c r="AA57" s="6"/>
      <c r="AB57" s="6"/>
      <c r="AC57" s="6"/>
      <c r="AD57" s="6"/>
    </row>
    <row r="58" spans="2:30">
      <c r="B58" s="7">
        <f t="shared" si="0"/>
        <v>2022</v>
      </c>
      <c r="C58" s="7">
        <f t="shared" si="1"/>
        <v>10</v>
      </c>
      <c r="D58" s="7">
        <f t="shared" si="2"/>
        <v>24</v>
      </c>
      <c r="E58" s="8">
        <f t="shared" si="4"/>
        <v>44858</v>
      </c>
      <c r="F58" s="8">
        <f t="shared" si="5"/>
        <v>44864</v>
      </c>
      <c r="G58" s="7">
        <f t="shared" si="3"/>
        <v>44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6"/>
      <c r="T58" s="6"/>
      <c r="U58" s="6"/>
      <c r="V58" s="10"/>
      <c r="W58" s="10"/>
      <c r="X58" s="10"/>
      <c r="Y58" s="10"/>
      <c r="Z58" s="10"/>
      <c r="AA58" s="6"/>
      <c r="AB58" s="6"/>
      <c r="AC58" s="6"/>
      <c r="AD58" s="6"/>
    </row>
    <row r="59" spans="2:30">
      <c r="B59" s="6"/>
      <c r="C59" s="6"/>
      <c r="D59" s="7"/>
      <c r="E59" s="6"/>
      <c r="F59" s="6"/>
      <c r="G59" s="6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6"/>
      <c r="T59" s="6"/>
      <c r="U59" s="6"/>
      <c r="V59" s="10"/>
      <c r="W59" s="10"/>
      <c r="X59" s="10"/>
      <c r="Y59" s="10"/>
      <c r="Z59" s="10"/>
      <c r="AA59" s="6"/>
      <c r="AB59" s="6"/>
      <c r="AC59" s="6"/>
      <c r="AD59" s="6"/>
    </row>
    <row r="60" spans="2:30">
      <c r="B60" s="6"/>
      <c r="C60" s="6"/>
      <c r="D60" s="7"/>
      <c r="E60" s="6"/>
      <c r="F60" s="6"/>
      <c r="G60" s="6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6"/>
      <c r="T60" s="6"/>
      <c r="U60" s="6"/>
      <c r="V60" s="10"/>
      <c r="W60" s="10"/>
      <c r="X60" s="10"/>
      <c r="Y60" s="10"/>
      <c r="Z60" s="10"/>
      <c r="AA60" s="6"/>
      <c r="AB60" s="6"/>
      <c r="AC60" s="6"/>
      <c r="AD60" s="6"/>
    </row>
    <row r="61" spans="2:30">
      <c r="B61" s="6"/>
      <c r="C61" s="6"/>
      <c r="D61" s="7"/>
      <c r="E61" s="6"/>
      <c r="F61" s="6"/>
      <c r="G61" s="6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6"/>
      <c r="T61" s="6"/>
      <c r="U61" s="6"/>
      <c r="V61" s="10"/>
      <c r="W61" s="10"/>
      <c r="X61" s="10"/>
      <c r="Y61" s="10"/>
      <c r="Z61" s="10"/>
      <c r="AA61" s="6"/>
      <c r="AB61" s="6"/>
      <c r="AC61" s="6"/>
      <c r="AD61" s="6"/>
    </row>
    <row r="62" spans="2:30">
      <c r="B62" s="6"/>
      <c r="C62" s="6"/>
      <c r="D62" s="7"/>
      <c r="E62" s="6"/>
      <c r="F62" s="6"/>
      <c r="G62" s="6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6"/>
      <c r="T62" s="6"/>
      <c r="U62" s="6"/>
      <c r="V62" s="10"/>
      <c r="W62" s="10"/>
      <c r="X62" s="10"/>
      <c r="Y62" s="10"/>
      <c r="Z62" s="10"/>
      <c r="AA62" s="6"/>
      <c r="AB62" s="6"/>
      <c r="AC62" s="6"/>
      <c r="AD62" s="6"/>
    </row>
    <row r="63" spans="2:30">
      <c r="B63" s="6"/>
      <c r="C63" s="6"/>
      <c r="D63" s="7"/>
      <c r="E63" s="6"/>
      <c r="F63" s="6"/>
      <c r="G63" s="6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6"/>
      <c r="T63" s="6"/>
      <c r="U63" s="6"/>
      <c r="V63" s="10"/>
      <c r="W63" s="10"/>
      <c r="X63" s="10"/>
      <c r="Y63" s="10"/>
      <c r="Z63" s="10"/>
      <c r="AA63" s="6"/>
      <c r="AB63" s="6"/>
      <c r="AC63" s="6"/>
      <c r="AD63" s="6"/>
    </row>
    <row r="64" spans="2:30">
      <c r="B64" s="6"/>
      <c r="C64" s="6"/>
      <c r="D64" s="7"/>
      <c r="E64" s="6"/>
      <c r="F64" s="6"/>
      <c r="G64" s="6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6"/>
      <c r="T64" s="6"/>
      <c r="U64" s="6"/>
      <c r="V64" s="10"/>
      <c r="W64" s="10"/>
      <c r="X64" s="10"/>
      <c r="Y64" s="10"/>
      <c r="Z64" s="10"/>
      <c r="AA64" s="6"/>
      <c r="AB64" s="6"/>
      <c r="AC64" s="6"/>
      <c r="AD64" s="6"/>
    </row>
    <row r="65" spans="8:18"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8:18"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8:18"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8:18"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8:18"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8:18"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8:18"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8:18"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8:18"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8:18"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8:18"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8:18"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8:18"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8:18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8:18"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8:18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8:18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8:18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8:18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8:18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8:18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8:18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8:18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8:18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8:18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8:18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8:18"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8:18"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8:18"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8:18"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8:18"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8:18"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7:18"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7:18"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7:18"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7:18"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7:18"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7:18"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7:18"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7:18"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7:18"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7:18"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7:18"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7:18"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7:18"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7:18"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7:18"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7:18"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8:18"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8:18"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8:18"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8:18"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8:18"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8:18"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8:18"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8:18"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8:18"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8:18"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8:18"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8:18"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8:18"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8:18"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8:18"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8:18"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8:18"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8:18"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8:18"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8:18"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8:18"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8:18"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8:18"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8:18"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8:18"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8:18"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8:18"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8:18"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8:18"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8:18"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8:18"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8:18"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8:18"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8:18"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8:18"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8:18"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8:18"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8:18"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8:18"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8:18"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</sheetData>
  <mergeCells count="1">
    <mergeCell ref="E6:F6"/>
  </mergeCell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B1:I18"/>
  <sheetViews>
    <sheetView showGridLines="0" topLeftCell="B1" workbookViewId="0">
      <selection activeCell="N13" sqref="N13"/>
    </sheetView>
  </sheetViews>
  <sheetFormatPr defaultRowHeight="14.4"/>
  <cols>
    <col min="2" max="2" width="12.88671875" customWidth="1"/>
    <col min="3" max="3" width="22.21875" bestFit="1" customWidth="1"/>
    <col min="4" max="4" width="19.6640625" bestFit="1" customWidth="1"/>
    <col min="5" max="5" width="18.21875" bestFit="1" customWidth="1"/>
    <col min="6" max="6" width="18.21875" customWidth="1"/>
    <col min="7" max="7" width="17.77734375" bestFit="1" customWidth="1"/>
    <col min="8" max="8" width="22.21875" bestFit="1" customWidth="1"/>
    <col min="9" max="9" width="18" bestFit="1" customWidth="1"/>
  </cols>
  <sheetData>
    <row r="1" spans="2:9" ht="4.2" customHeight="1"/>
    <row r="2" spans="2:9" ht="33.6">
      <c r="B2" s="95" t="s">
        <v>171</v>
      </c>
    </row>
    <row r="3" spans="2:9" ht="9.6" customHeight="1"/>
    <row r="4" spans="2:9" ht="25.8">
      <c r="B4" s="96" t="s">
        <v>25</v>
      </c>
      <c r="C4" s="96" t="s">
        <v>170</v>
      </c>
      <c r="D4" s="97">
        <v>44500</v>
      </c>
      <c r="E4" s="99">
        <v>44501</v>
      </c>
      <c r="F4" s="104">
        <v>44502</v>
      </c>
      <c r="G4" s="98">
        <v>44503</v>
      </c>
      <c r="H4" s="100">
        <v>44504</v>
      </c>
      <c r="I4" s="101">
        <v>44505</v>
      </c>
    </row>
    <row r="5" spans="2:9" ht="25.8">
      <c r="B5" s="88">
        <v>1</v>
      </c>
      <c r="C5" s="89" t="s">
        <v>9</v>
      </c>
      <c r="D5" s="89" t="str">
        <f>C5</f>
        <v>ต้นหอม</v>
      </c>
      <c r="E5" s="88"/>
      <c r="F5" s="88"/>
      <c r="G5" s="88"/>
      <c r="H5" s="88"/>
      <c r="I5" s="88"/>
    </row>
    <row r="6" spans="2:9" ht="25.8">
      <c r="B6" s="88">
        <v>2</v>
      </c>
      <c r="C6" s="90" t="s">
        <v>11</v>
      </c>
      <c r="D6" s="90" t="str">
        <f>C6</f>
        <v>ผักชี</v>
      </c>
      <c r="E6" s="88"/>
      <c r="F6" s="88"/>
      <c r="G6" s="88"/>
      <c r="H6" s="88"/>
      <c r="I6" s="88"/>
    </row>
    <row r="7" spans="2:9" ht="25.8">
      <c r="B7" s="88">
        <v>3</v>
      </c>
      <c r="C7" s="91" t="s">
        <v>12</v>
      </c>
      <c r="D7" s="109" t="s">
        <v>169</v>
      </c>
      <c r="E7" s="91" t="str">
        <f>C7</f>
        <v>ใบกระเพรา</v>
      </c>
      <c r="F7" s="88"/>
      <c r="G7" s="88"/>
      <c r="H7" s="88"/>
      <c r="I7" s="88"/>
    </row>
    <row r="8" spans="2:9" ht="25.8">
      <c r="B8" s="88">
        <v>4</v>
      </c>
      <c r="C8" s="91" t="s">
        <v>13</v>
      </c>
      <c r="D8" s="109"/>
      <c r="E8" s="91" t="str">
        <f t="shared" ref="E8:E11" si="0">C8</f>
        <v>ใบโหระพา</v>
      </c>
      <c r="F8" s="88"/>
      <c r="G8" s="88"/>
      <c r="H8" s="88"/>
      <c r="I8" s="88"/>
    </row>
    <row r="9" spans="2:9" ht="25.8">
      <c r="B9" s="88">
        <v>5</v>
      </c>
      <c r="C9" s="91" t="s">
        <v>14</v>
      </c>
      <c r="D9" s="109"/>
      <c r="E9" s="91" t="str">
        <f t="shared" si="0"/>
        <v>ตะไคร้</v>
      </c>
      <c r="F9" s="88"/>
      <c r="G9" s="88"/>
      <c r="H9" s="88"/>
      <c r="I9" s="88"/>
    </row>
    <row r="10" spans="2:9" ht="25.8">
      <c r="B10" s="88">
        <v>6</v>
      </c>
      <c r="C10" s="91" t="s">
        <v>18</v>
      </c>
      <c r="D10" s="109"/>
      <c r="E10" s="91" t="str">
        <f t="shared" si="0"/>
        <v>ใบมะกูด</v>
      </c>
      <c r="F10" s="88"/>
      <c r="G10" s="88"/>
      <c r="H10" s="88"/>
      <c r="I10" s="88"/>
    </row>
    <row r="11" spans="2:9" ht="25.8">
      <c r="B11" s="88">
        <v>7</v>
      </c>
      <c r="C11" s="91" t="s">
        <v>20</v>
      </c>
      <c r="D11" s="109"/>
      <c r="E11" s="91" t="str">
        <f t="shared" si="0"/>
        <v>ใบเตย</v>
      </c>
      <c r="F11" s="88"/>
      <c r="G11" s="88"/>
      <c r="H11" s="88"/>
      <c r="I11" s="88"/>
    </row>
    <row r="12" spans="2:9" ht="25.8">
      <c r="B12" s="88">
        <v>8</v>
      </c>
      <c r="C12" s="92" t="s">
        <v>0</v>
      </c>
      <c r="D12" s="109"/>
      <c r="E12" s="88"/>
      <c r="F12" s="88"/>
      <c r="G12" s="92" t="str">
        <f>C12</f>
        <v>ผักบุ้ง</v>
      </c>
      <c r="H12" s="88"/>
      <c r="I12" s="88"/>
    </row>
    <row r="13" spans="2:9" ht="25.8">
      <c r="B13" s="88">
        <v>9</v>
      </c>
      <c r="C13" s="92" t="s">
        <v>10</v>
      </c>
      <c r="D13" s="109"/>
      <c r="E13" s="88"/>
      <c r="F13" s="88"/>
      <c r="G13" s="92" t="str">
        <f>C13</f>
        <v>ผักกวางตุ้ง</v>
      </c>
      <c r="H13" s="88"/>
      <c r="I13" s="88"/>
    </row>
    <row r="14" spans="2:9" ht="25.8">
      <c r="B14" s="88">
        <v>10</v>
      </c>
      <c r="C14" s="93" t="s">
        <v>15</v>
      </c>
      <c r="D14" s="109"/>
      <c r="E14" s="88"/>
      <c r="F14" s="88"/>
      <c r="G14" s="88"/>
      <c r="H14" s="93" t="str">
        <f>C14</f>
        <v>ถั่วฝักยาว</v>
      </c>
      <c r="I14" s="88"/>
    </row>
    <row r="15" spans="2:9" ht="25.8">
      <c r="B15" s="88">
        <v>11</v>
      </c>
      <c r="C15" s="93" t="s">
        <v>16</v>
      </c>
      <c r="D15" s="109"/>
      <c r="E15" s="88"/>
      <c r="F15" s="88"/>
      <c r="G15" s="88"/>
      <c r="H15" s="93" t="str">
        <f t="shared" ref="H15:H17" si="1">C15</f>
        <v>มะเขือเปราะ</v>
      </c>
      <c r="I15" s="88"/>
    </row>
    <row r="16" spans="2:9" ht="25.8">
      <c r="B16" s="88">
        <v>12</v>
      </c>
      <c r="C16" s="93" t="s">
        <v>17</v>
      </c>
      <c r="D16" s="109"/>
      <c r="E16" s="88"/>
      <c r="F16" s="88"/>
      <c r="G16" s="88"/>
      <c r="H16" s="93" t="str">
        <f t="shared" si="1"/>
        <v>กระเจี๊ยบเขียว</v>
      </c>
      <c r="I16" s="88"/>
    </row>
    <row r="17" spans="2:9" ht="25.8">
      <c r="B17" s="88">
        <v>13</v>
      </c>
      <c r="C17" s="93" t="s">
        <v>19</v>
      </c>
      <c r="D17" s="109"/>
      <c r="E17" s="88"/>
      <c r="F17" s="88"/>
      <c r="G17" s="88"/>
      <c r="H17" s="93" t="str">
        <f t="shared" si="1"/>
        <v>ผักกาดหอม</v>
      </c>
      <c r="I17" s="88"/>
    </row>
    <row r="18" spans="2:9" ht="25.8">
      <c r="B18" s="88">
        <v>14</v>
      </c>
      <c r="C18" s="94" t="s">
        <v>8</v>
      </c>
      <c r="D18" s="109"/>
      <c r="E18" s="88"/>
      <c r="F18" s="88"/>
      <c r="G18" s="88"/>
      <c r="H18" s="88"/>
      <c r="I18" s="94" t="str">
        <f>C18</f>
        <v>ขึ้นฉ่าย</v>
      </c>
    </row>
  </sheetData>
  <mergeCells count="1">
    <mergeCell ref="D7:D1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1:S30"/>
  <sheetViews>
    <sheetView showGridLines="0" topLeftCell="A13" zoomScale="130" zoomScaleNormal="130" workbookViewId="0">
      <selection activeCell="C12" sqref="C12"/>
    </sheetView>
  </sheetViews>
  <sheetFormatPr defaultRowHeight="18"/>
  <cols>
    <col min="1" max="1" width="3.6640625" style="86" customWidth="1"/>
    <col min="2" max="2" width="32.88671875" style="86" customWidth="1"/>
    <col min="3" max="3" width="12.21875" style="86" bestFit="1" customWidth="1"/>
    <col min="4" max="4" width="10.44140625" style="86" bestFit="1" customWidth="1"/>
    <col min="5" max="16384" width="8.88671875" style="86"/>
  </cols>
  <sheetData>
    <row r="1" spans="2:19">
      <c r="B1" s="102" t="s">
        <v>173</v>
      </c>
      <c r="C1" s="102" t="s">
        <v>174</v>
      </c>
      <c r="D1" s="102" t="s">
        <v>109</v>
      </c>
      <c r="E1" s="111" t="s">
        <v>175</v>
      </c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</row>
    <row r="2" spans="2:19">
      <c r="B2" s="103" t="s">
        <v>49</v>
      </c>
      <c r="C2" s="87">
        <v>1</v>
      </c>
      <c r="D2" s="87">
        <v>2</v>
      </c>
      <c r="E2" s="112" t="s">
        <v>14</v>
      </c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4"/>
    </row>
    <row r="3" spans="2:19">
      <c r="B3" s="103" t="s">
        <v>55</v>
      </c>
      <c r="C3" s="87">
        <v>1</v>
      </c>
      <c r="D3" s="87">
        <v>1</v>
      </c>
      <c r="E3" s="110" t="s">
        <v>20</v>
      </c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</row>
    <row r="4" spans="2:19">
      <c r="B4" s="103" t="s">
        <v>58</v>
      </c>
      <c r="C4" s="87">
        <v>6</v>
      </c>
      <c r="D4" s="87">
        <v>1</v>
      </c>
      <c r="E4" s="110" t="s">
        <v>59</v>
      </c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</row>
    <row r="5" spans="2:19">
      <c r="B5" s="103" t="s">
        <v>52</v>
      </c>
      <c r="C5" s="87">
        <v>5</v>
      </c>
      <c r="D5" s="87">
        <v>2</v>
      </c>
      <c r="E5" s="110" t="s">
        <v>63</v>
      </c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</row>
    <row r="6" spans="2:19">
      <c r="B6" s="103" t="s">
        <v>65</v>
      </c>
      <c r="C6" s="87">
        <v>2</v>
      </c>
      <c r="D6" s="87">
        <v>1</v>
      </c>
      <c r="E6" s="110" t="s">
        <v>66</v>
      </c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</row>
    <row r="7" spans="2:19">
      <c r="B7" s="103" t="s">
        <v>69</v>
      </c>
      <c r="C7" s="87">
        <v>6</v>
      </c>
      <c r="D7" s="87">
        <v>0.5</v>
      </c>
      <c r="E7" s="110" t="s">
        <v>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</row>
    <row r="8" spans="2:19">
      <c r="B8" s="103" t="s">
        <v>74</v>
      </c>
      <c r="C8" s="87">
        <v>12</v>
      </c>
      <c r="D8" s="87">
        <v>3</v>
      </c>
      <c r="E8" s="110" t="s">
        <v>75</v>
      </c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</row>
    <row r="9" spans="2:19">
      <c r="B9" s="103" t="s">
        <v>79</v>
      </c>
      <c r="C9" s="87">
        <v>6</v>
      </c>
      <c r="D9" s="87">
        <v>1</v>
      </c>
      <c r="E9" s="110" t="s">
        <v>80</v>
      </c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</row>
    <row r="10" spans="2:19">
      <c r="B10" s="103" t="s">
        <v>83</v>
      </c>
      <c r="C10" s="87">
        <v>2</v>
      </c>
      <c r="D10" s="87">
        <v>0.25</v>
      </c>
      <c r="E10" s="110" t="s">
        <v>84</v>
      </c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</row>
    <row r="11" spans="2:19">
      <c r="B11" s="103" t="s">
        <v>89</v>
      </c>
      <c r="C11" s="87">
        <v>5</v>
      </c>
      <c r="D11" s="87">
        <v>0.75</v>
      </c>
      <c r="E11" s="110" t="s">
        <v>90</v>
      </c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</row>
    <row r="12" spans="2:19">
      <c r="B12" s="103" t="s">
        <v>93</v>
      </c>
      <c r="C12" s="87">
        <v>5</v>
      </c>
      <c r="D12" s="87">
        <v>0.5</v>
      </c>
      <c r="E12" s="110" t="s">
        <v>94</v>
      </c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</row>
    <row r="13" spans="2:19">
      <c r="B13" s="103" t="s">
        <v>100</v>
      </c>
      <c r="C13" s="87">
        <v>1</v>
      </c>
      <c r="D13" s="87">
        <v>0.5</v>
      </c>
      <c r="E13" s="110" t="s">
        <v>14</v>
      </c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</row>
    <row r="14" spans="2:19">
      <c r="B14" s="103" t="s">
        <v>106</v>
      </c>
      <c r="C14" s="87">
        <v>4</v>
      </c>
      <c r="D14" s="87">
        <v>1</v>
      </c>
      <c r="E14" s="110" t="s">
        <v>107</v>
      </c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</row>
    <row r="15" spans="2:19">
      <c r="B15" s="103" t="s">
        <v>112</v>
      </c>
      <c r="C15" s="87">
        <v>1</v>
      </c>
      <c r="D15" s="87">
        <v>2.5</v>
      </c>
      <c r="E15" s="110" t="s">
        <v>8</v>
      </c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</row>
    <row r="16" spans="2:19">
      <c r="B16" s="103" t="s">
        <v>118</v>
      </c>
      <c r="C16" s="87">
        <v>1</v>
      </c>
      <c r="D16" s="87">
        <v>2</v>
      </c>
      <c r="E16" s="110" t="s">
        <v>0</v>
      </c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</row>
    <row r="17" spans="2:19">
      <c r="B17" s="103" t="s">
        <v>122</v>
      </c>
      <c r="C17" s="87">
        <v>9</v>
      </c>
      <c r="D17" s="87">
        <v>2</v>
      </c>
      <c r="E17" s="110" t="s">
        <v>123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</row>
    <row r="18" spans="2:19">
      <c r="B18" s="103" t="s">
        <v>127</v>
      </c>
      <c r="C18" s="87">
        <v>3</v>
      </c>
      <c r="D18" s="87">
        <v>2</v>
      </c>
      <c r="E18" s="110" t="s">
        <v>128</v>
      </c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</row>
    <row r="19" spans="2:19">
      <c r="B19" s="103" t="s">
        <v>131</v>
      </c>
      <c r="C19" s="87">
        <v>10</v>
      </c>
      <c r="D19" s="87">
        <v>1</v>
      </c>
      <c r="E19" s="110" t="s">
        <v>132</v>
      </c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</row>
    <row r="20" spans="2:19">
      <c r="B20" s="103" t="s">
        <v>136</v>
      </c>
      <c r="C20" s="87">
        <v>3</v>
      </c>
      <c r="D20" s="87">
        <v>5</v>
      </c>
      <c r="E20" s="110" t="s">
        <v>137</v>
      </c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</row>
    <row r="21" spans="2:19">
      <c r="B21" s="103" t="s">
        <v>142</v>
      </c>
      <c r="C21" s="87">
        <v>3</v>
      </c>
      <c r="D21" s="87">
        <v>1</v>
      </c>
      <c r="E21" s="110" t="s">
        <v>143</v>
      </c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</row>
    <row r="22" spans="2:19">
      <c r="B22" s="103" t="s">
        <v>146</v>
      </c>
      <c r="C22" s="87">
        <v>4</v>
      </c>
      <c r="D22" s="87">
        <v>1</v>
      </c>
      <c r="E22" s="110" t="s">
        <v>147</v>
      </c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</row>
    <row r="23" spans="2:19">
      <c r="B23" s="103" t="s">
        <v>151</v>
      </c>
      <c r="C23" s="87">
        <v>3</v>
      </c>
      <c r="D23" s="87">
        <v>0.5</v>
      </c>
      <c r="E23" s="110" t="s">
        <v>152</v>
      </c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</row>
    <row r="24" spans="2:19">
      <c r="B24" s="103" t="s">
        <v>157</v>
      </c>
      <c r="C24" s="87">
        <v>14</v>
      </c>
      <c r="D24" s="87">
        <v>2</v>
      </c>
      <c r="E24" s="115" t="s">
        <v>158</v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</row>
    <row r="25" spans="2:19">
      <c r="B25" s="103" t="s">
        <v>162</v>
      </c>
      <c r="C25" s="87">
        <v>6</v>
      </c>
      <c r="D25" s="87">
        <v>1</v>
      </c>
      <c r="E25" s="110" t="s">
        <v>163</v>
      </c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</row>
    <row r="26" spans="2:19">
      <c r="B26" s="103" t="s">
        <v>177</v>
      </c>
      <c r="C26" s="87">
        <v>2</v>
      </c>
      <c r="D26" s="87">
        <v>1</v>
      </c>
      <c r="E26" s="110" t="s">
        <v>178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</row>
    <row r="27" spans="2:19">
      <c r="B27" s="103" t="s">
        <v>52</v>
      </c>
      <c r="C27" s="87">
        <v>7</v>
      </c>
      <c r="D27" s="87">
        <v>2</v>
      </c>
      <c r="E27" s="110" t="s">
        <v>181</v>
      </c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</row>
    <row r="28" spans="2:19">
      <c r="B28" s="103" t="s">
        <v>183</v>
      </c>
      <c r="C28" s="87">
        <v>1</v>
      </c>
      <c r="D28" s="87">
        <v>3.5</v>
      </c>
      <c r="E28" s="110" t="s">
        <v>21</v>
      </c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</row>
    <row r="29" spans="2:19">
      <c r="B29" s="103" t="s">
        <v>187</v>
      </c>
      <c r="C29" s="87">
        <v>5</v>
      </c>
      <c r="D29" s="87">
        <v>3</v>
      </c>
      <c r="E29" s="110" t="s">
        <v>188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</row>
    <row r="30" spans="2:19">
      <c r="B30" s="103" t="s">
        <v>191</v>
      </c>
      <c r="C30" s="87">
        <v>1</v>
      </c>
      <c r="D30" s="87">
        <v>0.25</v>
      </c>
      <c r="E30" s="110" t="s">
        <v>14</v>
      </c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</row>
  </sheetData>
  <mergeCells count="30">
    <mergeCell ref="E30:S30"/>
    <mergeCell ref="E17:S17"/>
    <mergeCell ref="E25:S25"/>
    <mergeCell ref="E19:S19"/>
    <mergeCell ref="E20:S20"/>
    <mergeCell ref="E21:S21"/>
    <mergeCell ref="E22:S22"/>
    <mergeCell ref="E23:S23"/>
    <mergeCell ref="E24:S24"/>
    <mergeCell ref="E1:S1"/>
    <mergeCell ref="E2:S2"/>
    <mergeCell ref="E3:S3"/>
    <mergeCell ref="E4:S4"/>
    <mergeCell ref="E5:S5"/>
    <mergeCell ref="E6:S6"/>
    <mergeCell ref="E26:S26"/>
    <mergeCell ref="E27:S27"/>
    <mergeCell ref="E28:S28"/>
    <mergeCell ref="E29:S29"/>
    <mergeCell ref="E18:S18"/>
    <mergeCell ref="E7:S7"/>
    <mergeCell ref="E8:S8"/>
    <mergeCell ref="E9:S9"/>
    <mergeCell ref="E10:S10"/>
    <mergeCell ref="E11:S11"/>
    <mergeCell ref="E12:S12"/>
    <mergeCell ref="E13:S13"/>
    <mergeCell ref="E14:S14"/>
    <mergeCell ref="E15:S15"/>
    <mergeCell ref="E16:S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googlesheet</vt:lpstr>
      <vt:lpstr>pivot</vt:lpstr>
      <vt:lpstr>main</vt:lpstr>
      <vt:lpstr>ต้นหอม</vt:lpstr>
      <vt:lpstr>ผักชี</vt:lpstr>
      <vt:lpstr>แผนประชุมแยก</vt:lpstr>
      <vt:lpstr>เกษตกร</vt:lpstr>
      <vt:lpstr>googlesheet!export?format_csv_gid_173886995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peerapong</dc:creator>
  <cp:lastModifiedBy>peerapong</cp:lastModifiedBy>
  <dcterms:created xsi:type="dcterms:W3CDTF">2021-10-18T13:52:02Z</dcterms:created>
  <dcterms:modified xsi:type="dcterms:W3CDTF">2021-10-31T14:54:37Z</dcterms:modified>
</cp:coreProperties>
</file>